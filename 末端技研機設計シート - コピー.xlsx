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ero\"/>
    </mc:Choice>
  </mc:AlternateContent>
  <xr:revisionPtr revIDLastSave="0" documentId="13_ncr:1_{5E71D7F7-E96A-4628-A938-B72AD3FE7EBF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比較モード" sheetId="7" r:id="rId1"/>
    <sheet name="BASE" sheetId="1" r:id="rId2"/>
    <sheet name="BASE限界" sheetId="2" r:id="rId3"/>
    <sheet name="定常時揚力分布" sheetId="3" r:id="rId4"/>
    <sheet name="低速時揚力分布" sheetId="4" r:id="rId5"/>
    <sheet name="csv1" sheetId="5" r:id="rId6"/>
    <sheet name="csv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1" i="4" l="1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M5" i="4" s="1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M4" i="4" s="1"/>
  <c r="J5" i="4"/>
  <c r="I5" i="4"/>
  <c r="J4" i="4"/>
  <c r="I4" i="4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C10" i="3"/>
  <c r="J9" i="3"/>
  <c r="I9" i="3"/>
  <c r="J8" i="3"/>
  <c r="I8" i="3"/>
  <c r="J7" i="3"/>
  <c r="I7" i="3"/>
  <c r="C7" i="3"/>
  <c r="J6" i="3"/>
  <c r="I6" i="3"/>
  <c r="J5" i="3"/>
  <c r="M5" i="3" s="1"/>
  <c r="I5" i="3"/>
  <c r="J4" i="3"/>
  <c r="I4" i="3"/>
  <c r="M4" i="3" s="1"/>
  <c r="C4" i="3"/>
  <c r="F42" i="2"/>
  <c r="F41" i="2"/>
  <c r="F40" i="2"/>
  <c r="F39" i="2"/>
  <c r="E39" i="2"/>
  <c r="F38" i="2"/>
  <c r="E38" i="2"/>
  <c r="F37" i="2"/>
  <c r="O29" i="2"/>
  <c r="O28" i="2"/>
  <c r="O27" i="2"/>
  <c r="O26" i="2"/>
  <c r="O25" i="2"/>
  <c r="O24" i="2"/>
  <c r="X19" i="2"/>
  <c r="S19" i="2"/>
  <c r="Q19" i="2"/>
  <c r="X18" i="2"/>
  <c r="V18" i="2"/>
  <c r="T18" i="2"/>
  <c r="S18" i="2"/>
  <c r="Q18" i="2"/>
  <c r="X17" i="2"/>
  <c r="V17" i="2"/>
  <c r="T17" i="2"/>
  <c r="S17" i="2"/>
  <c r="Q17" i="2"/>
  <c r="X16" i="2"/>
  <c r="V16" i="2"/>
  <c r="T16" i="2"/>
  <c r="S16" i="2"/>
  <c r="Q16" i="2"/>
  <c r="X15" i="2"/>
  <c r="V15" i="2"/>
  <c r="T15" i="2"/>
  <c r="S15" i="2"/>
  <c r="Q15" i="2"/>
  <c r="M15" i="2"/>
  <c r="M16" i="2" s="1"/>
  <c r="X14" i="2"/>
  <c r="V14" i="2"/>
  <c r="T14" i="2"/>
  <c r="S14" i="2"/>
  <c r="Q14" i="2"/>
  <c r="Q13" i="2" s="1"/>
  <c r="M14" i="2"/>
  <c r="V13" i="2"/>
  <c r="T13" i="2"/>
  <c r="L13" i="2"/>
  <c r="C111" i="4" s="1"/>
  <c r="F8" i="2"/>
  <c r="F9" i="2" s="1"/>
  <c r="F42" i="1"/>
  <c r="F41" i="1"/>
  <c r="F40" i="1"/>
  <c r="F39" i="1"/>
  <c r="F38" i="1"/>
  <c r="E38" i="1"/>
  <c r="F37" i="1"/>
  <c r="S19" i="1"/>
  <c r="Q19" i="1"/>
  <c r="V18" i="1"/>
  <c r="T18" i="1"/>
  <c r="S18" i="1"/>
  <c r="Q18" i="1"/>
  <c r="V17" i="1"/>
  <c r="T17" i="1"/>
  <c r="S17" i="1"/>
  <c r="Q17" i="1"/>
  <c r="V16" i="1"/>
  <c r="T16" i="1"/>
  <c r="S16" i="1"/>
  <c r="Q16" i="1"/>
  <c r="V15" i="1"/>
  <c r="T15" i="1"/>
  <c r="S15" i="1"/>
  <c r="Q15" i="1"/>
  <c r="M15" i="1"/>
  <c r="E39" i="1" s="1"/>
  <c r="V14" i="1"/>
  <c r="T14" i="1"/>
  <c r="S14" i="1"/>
  <c r="Q14" i="1"/>
  <c r="Q13" i="1" s="1"/>
  <c r="M14" i="1"/>
  <c r="V13" i="1"/>
  <c r="T13" i="1"/>
  <c r="L13" i="1"/>
  <c r="C113" i="3" s="1"/>
  <c r="F8" i="1"/>
  <c r="F9" i="1" s="1"/>
  <c r="M6" i="4" l="1"/>
  <c r="E40" i="2"/>
  <c r="M17" i="2"/>
  <c r="M6" i="3"/>
  <c r="C119" i="3"/>
  <c r="C125" i="3"/>
  <c r="C131" i="3"/>
  <c r="C137" i="3"/>
  <c r="C143" i="3"/>
  <c r="C149" i="3"/>
  <c r="C155" i="3"/>
  <c r="C161" i="3"/>
  <c r="C167" i="3"/>
  <c r="C173" i="3"/>
  <c r="C179" i="3"/>
  <c r="C116" i="4"/>
  <c r="C122" i="4"/>
  <c r="C128" i="4"/>
  <c r="C134" i="4"/>
  <c r="C140" i="4"/>
  <c r="C146" i="4"/>
  <c r="C152" i="4"/>
  <c r="C158" i="4"/>
  <c r="C164" i="4"/>
  <c r="C170" i="4"/>
  <c r="C176" i="4"/>
  <c r="N8" i="1"/>
  <c r="M7" i="3" s="1"/>
  <c r="N8" i="2"/>
  <c r="M7" i="4" s="1"/>
  <c r="C14" i="3"/>
  <c r="C18" i="3"/>
  <c r="C22" i="3"/>
  <c r="C26" i="3"/>
  <c r="C30" i="3"/>
  <c r="C34" i="3"/>
  <c r="C38" i="3"/>
  <c r="C42" i="3"/>
  <c r="C46" i="3"/>
  <c r="C50" i="3"/>
  <c r="C54" i="3"/>
  <c r="C58" i="3"/>
  <c r="C62" i="3"/>
  <c r="C66" i="3"/>
  <c r="C70" i="3"/>
  <c r="C74" i="3"/>
  <c r="C78" i="3"/>
  <c r="C82" i="3"/>
  <c r="C86" i="3"/>
  <c r="C90" i="3"/>
  <c r="C94" i="3"/>
  <c r="C98" i="3"/>
  <c r="C102" i="3"/>
  <c r="C106" i="3"/>
  <c r="C110" i="3"/>
  <c r="C114" i="3"/>
  <c r="C120" i="3"/>
  <c r="C126" i="3"/>
  <c r="C132" i="3"/>
  <c r="C138" i="3"/>
  <c r="C144" i="3"/>
  <c r="C150" i="3"/>
  <c r="C156" i="3"/>
  <c r="C162" i="3"/>
  <c r="C168" i="3"/>
  <c r="C174" i="3"/>
  <c r="C180" i="3"/>
  <c r="C6" i="4"/>
  <c r="C9" i="4"/>
  <c r="C12" i="4"/>
  <c r="C16" i="4"/>
  <c r="C20" i="4"/>
  <c r="C24" i="4"/>
  <c r="C28" i="4"/>
  <c r="C32" i="4"/>
  <c r="C36" i="4"/>
  <c r="C40" i="4"/>
  <c r="C44" i="4"/>
  <c r="C48" i="4"/>
  <c r="C52" i="4"/>
  <c r="C56" i="4"/>
  <c r="C60" i="4"/>
  <c r="C64" i="4"/>
  <c r="C68" i="4"/>
  <c r="C72" i="4"/>
  <c r="C76" i="4"/>
  <c r="C80" i="4"/>
  <c r="C84" i="4"/>
  <c r="C88" i="4"/>
  <c r="C92" i="4"/>
  <c r="C96" i="4"/>
  <c r="C100" i="4"/>
  <c r="C104" i="4"/>
  <c r="C108" i="4"/>
  <c r="C112" i="4"/>
  <c r="C117" i="4"/>
  <c r="C123" i="4"/>
  <c r="C129" i="4"/>
  <c r="C135" i="4"/>
  <c r="C141" i="4"/>
  <c r="C147" i="4"/>
  <c r="C153" i="4"/>
  <c r="C159" i="4"/>
  <c r="C165" i="4"/>
  <c r="C171" i="4"/>
  <c r="C177" i="4"/>
  <c r="C5" i="3"/>
  <c r="C8" i="3"/>
  <c r="C11" i="3"/>
  <c r="C115" i="3"/>
  <c r="C121" i="3"/>
  <c r="C127" i="3"/>
  <c r="C133" i="3"/>
  <c r="C139" i="3"/>
  <c r="C145" i="3"/>
  <c r="C151" i="3"/>
  <c r="C157" i="3"/>
  <c r="C163" i="3"/>
  <c r="C169" i="3"/>
  <c r="C175" i="3"/>
  <c r="C181" i="3"/>
  <c r="C118" i="4"/>
  <c r="C124" i="4"/>
  <c r="C130" i="4"/>
  <c r="C136" i="4"/>
  <c r="C142" i="4"/>
  <c r="C148" i="4"/>
  <c r="C154" i="4"/>
  <c r="C160" i="4"/>
  <c r="C166" i="4"/>
  <c r="C172" i="4"/>
  <c r="C178" i="4"/>
  <c r="C15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95" i="3"/>
  <c r="C99" i="3"/>
  <c r="C103" i="3"/>
  <c r="C107" i="3"/>
  <c r="C111" i="3"/>
  <c r="C13" i="4"/>
  <c r="C17" i="4"/>
  <c r="C21" i="4"/>
  <c r="C25" i="4"/>
  <c r="C29" i="4"/>
  <c r="C33" i="4"/>
  <c r="C37" i="4"/>
  <c r="C41" i="4"/>
  <c r="C45" i="4"/>
  <c r="C49" i="4"/>
  <c r="C53" i="4"/>
  <c r="C57" i="4"/>
  <c r="C61" i="4"/>
  <c r="C65" i="4"/>
  <c r="C69" i="4"/>
  <c r="C73" i="4"/>
  <c r="C77" i="4"/>
  <c r="C81" i="4"/>
  <c r="C85" i="4"/>
  <c r="C89" i="4"/>
  <c r="C93" i="4"/>
  <c r="C97" i="4"/>
  <c r="C101" i="4"/>
  <c r="C105" i="4"/>
  <c r="C109" i="4"/>
  <c r="C113" i="4"/>
  <c r="M16" i="1"/>
  <c r="C116" i="3"/>
  <c r="C122" i="3"/>
  <c r="C128" i="3"/>
  <c r="C134" i="3"/>
  <c r="C140" i="3"/>
  <c r="C146" i="3"/>
  <c r="C152" i="3"/>
  <c r="C158" i="3"/>
  <c r="C164" i="3"/>
  <c r="C170" i="3"/>
  <c r="C176" i="3"/>
  <c r="C4" i="4"/>
  <c r="C7" i="4"/>
  <c r="C10" i="4"/>
  <c r="C119" i="4"/>
  <c r="C125" i="4"/>
  <c r="C131" i="4"/>
  <c r="C137" i="4"/>
  <c r="C143" i="4"/>
  <c r="C149" i="4"/>
  <c r="C155" i="4"/>
  <c r="C161" i="4"/>
  <c r="C167" i="4"/>
  <c r="C173" i="4"/>
  <c r="C179" i="4"/>
  <c r="C6" i="3"/>
  <c r="C9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96" i="3"/>
  <c r="C100" i="3"/>
  <c r="C104" i="3"/>
  <c r="C108" i="3"/>
  <c r="C112" i="3"/>
  <c r="C117" i="3"/>
  <c r="C123" i="3"/>
  <c r="C129" i="3"/>
  <c r="C135" i="3"/>
  <c r="C141" i="3"/>
  <c r="C147" i="3"/>
  <c r="C153" i="3"/>
  <c r="C159" i="3"/>
  <c r="C165" i="3"/>
  <c r="C171" i="3"/>
  <c r="C177" i="3"/>
  <c r="C14" i="4"/>
  <c r="C18" i="4"/>
  <c r="C22" i="4"/>
  <c r="C26" i="4"/>
  <c r="C30" i="4"/>
  <c r="C34" i="4"/>
  <c r="C38" i="4"/>
  <c r="C42" i="4"/>
  <c r="C46" i="4"/>
  <c r="C50" i="4"/>
  <c r="C54" i="4"/>
  <c r="C58" i="4"/>
  <c r="C62" i="4"/>
  <c r="C66" i="4"/>
  <c r="C70" i="4"/>
  <c r="C74" i="4"/>
  <c r="C78" i="4"/>
  <c r="C82" i="4"/>
  <c r="C86" i="4"/>
  <c r="C90" i="4"/>
  <c r="C94" i="4"/>
  <c r="C98" i="4"/>
  <c r="C102" i="4"/>
  <c r="C106" i="4"/>
  <c r="C110" i="4"/>
  <c r="C114" i="4"/>
  <c r="C120" i="4"/>
  <c r="C126" i="4"/>
  <c r="C132" i="4"/>
  <c r="C138" i="4"/>
  <c r="C144" i="4"/>
  <c r="C150" i="4"/>
  <c r="C156" i="4"/>
  <c r="C162" i="4"/>
  <c r="C168" i="4"/>
  <c r="C174" i="4"/>
  <c r="C180" i="4"/>
  <c r="C118" i="3"/>
  <c r="C124" i="3"/>
  <c r="C130" i="3"/>
  <c r="C136" i="3"/>
  <c r="C142" i="3"/>
  <c r="C148" i="3"/>
  <c r="C154" i="3"/>
  <c r="C160" i="3"/>
  <c r="C166" i="3"/>
  <c r="C172" i="3"/>
  <c r="C178" i="3"/>
  <c r="C5" i="4"/>
  <c r="C8" i="4"/>
  <c r="C11" i="4"/>
  <c r="C115" i="4"/>
  <c r="C121" i="4"/>
  <c r="C127" i="4"/>
  <c r="C133" i="4"/>
  <c r="C139" i="4"/>
  <c r="C145" i="4"/>
  <c r="C151" i="4"/>
  <c r="C157" i="4"/>
  <c r="C163" i="4"/>
  <c r="C169" i="4"/>
  <c r="C175" i="4"/>
  <c r="C181" i="4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97" i="3"/>
  <c r="C101" i="3"/>
  <c r="C105" i="3"/>
  <c r="C109" i="3"/>
  <c r="C15" i="4"/>
  <c r="C19" i="4"/>
  <c r="C23" i="4"/>
  <c r="C27" i="4"/>
  <c r="C31" i="4"/>
  <c r="C35" i="4"/>
  <c r="C39" i="4"/>
  <c r="C43" i="4"/>
  <c r="C47" i="4"/>
  <c r="C51" i="4"/>
  <c r="C55" i="4"/>
  <c r="C59" i="4"/>
  <c r="C63" i="4"/>
  <c r="C67" i="4"/>
  <c r="C71" i="4"/>
  <c r="C75" i="4"/>
  <c r="C79" i="4"/>
  <c r="C83" i="4"/>
  <c r="C87" i="4"/>
  <c r="C91" i="4"/>
  <c r="C95" i="4"/>
  <c r="C99" i="4"/>
  <c r="C103" i="4"/>
  <c r="C107" i="4"/>
  <c r="M8" i="3" l="1"/>
  <c r="M9" i="3" s="1"/>
  <c r="M10" i="3" s="1"/>
  <c r="M11" i="3" s="1"/>
  <c r="P4" i="1" s="1"/>
  <c r="M18" i="2"/>
  <c r="E41" i="2"/>
  <c r="M17" i="1"/>
  <c r="E40" i="1"/>
  <c r="M8" i="4"/>
  <c r="M9" i="4" s="1"/>
  <c r="M10" i="4" s="1"/>
  <c r="M11" i="4" s="1"/>
  <c r="P4" i="2" s="1"/>
  <c r="E41" i="1" l="1"/>
  <c r="M18" i="1"/>
  <c r="E42" i="2"/>
  <c r="M19" i="2"/>
  <c r="E43" i="2" s="1"/>
  <c r="E42" i="1" l="1"/>
  <c r="M19" i="1"/>
  <c r="E43" i="1" s="1"/>
</calcChain>
</file>

<file path=xl/sharedStrings.xml><?xml version="1.0" encoding="utf-8"?>
<sst xmlns="http://schemas.openxmlformats.org/spreadsheetml/2006/main" count="252" uniqueCount="94">
  <si>
    <t>定数コーナー</t>
  </si>
  <si>
    <t>誘導抗力概算式</t>
  </si>
  <si>
    <t>重力加速度</t>
  </si>
  <si>
    <t>[m/s^2]</t>
  </si>
  <si>
    <t>必要ぱわー</t>
  </si>
  <si>
    <t>空気密度</t>
  </si>
  <si>
    <t>[N/m^3]</t>
  </si>
  <si>
    <t>尾翼抵抗</t>
  </si>
  <si>
    <t>N</t>
  </si>
  <si>
    <t>全機揚力係数^2/π・アス比・翼効率</t>
  </si>
  <si>
    <t>定常機速</t>
  </si>
  <si>
    <t>[m/s]</t>
  </si>
  <si>
    <t>フレーム抵抗</t>
  </si>
  <si>
    <t>機体重量</t>
  </si>
  <si>
    <t>[kg]</t>
  </si>
  <si>
    <t>フェアリング抵抗</t>
  </si>
  <si>
    <t>P重量</t>
  </si>
  <si>
    <t>駆動効率</t>
  </si>
  <si>
    <t>翼効率</t>
  </si>
  <si>
    <t>総重量</t>
  </si>
  <si>
    <t>ペラ効率</t>
  </si>
  <si>
    <t>AR</t>
  </si>
  <si>
    <t>必要揚力</t>
  </si>
  <si>
    <t>[N]</t>
  </si>
  <si>
    <t>動粘性係数 ν</t>
  </si>
  <si>
    <t>m^2/s</t>
  </si>
  <si>
    <t>↓python が数式読み取らないから
T13~V18を数値だけコピーして.</t>
  </si>
  <si>
    <t>翼型</t>
  </si>
  <si>
    <t>cord</t>
  </si>
  <si>
    <t>Re</t>
  </si>
  <si>
    <t>区間長さ</t>
  </si>
  <si>
    <t>翼根からの距離</t>
  </si>
  <si>
    <t>むかえかく(度)</t>
  </si>
  <si>
    <t>翼面積(m^2)</t>
  </si>
  <si>
    <t>備考</t>
  </si>
  <si>
    <t>平均空力翼弦長</t>
  </si>
  <si>
    <t>合計値とか</t>
  </si>
  <si>
    <t>FP</t>
  </si>
  <si>
    <t>~</t>
  </si>
  <si>
    <t>LXA-1M3GX</t>
  </si>
  <si>
    <t>FPA</t>
  </si>
  <si>
    <t>LXA-2M6GX</t>
  </si>
  <si>
    <t>STL-07</t>
  </si>
  <si>
    <t>rev_tip_115_mod</t>
  </si>
  <si>
    <t>A</t>
  </si>
  <si>
    <t>設計制約</t>
  </si>
  <si>
    <t>・ハイエースでの機体輸送に対応(スパン制約2500程度と予想)
・ダイダロス型
・</t>
  </si>
  <si>
    <t> https://youtube。com/playlist？list=PLtl5ylS6jdP6uOxzSJKPnUsvMbkmalfKg&amp;si=yGcgfqDeptw4trVc</t>
  </si>
  <si>
    <t>↓python が数式読み取らないから
U13~W18を数値だけコピーして.</t>
  </si>
  <si>
    <t>消すな！！</t>
  </si>
  <si>
    <t>LXA-1M3GXFP2</t>
  </si>
  <si>
    <t>LXA-1M3GXFP</t>
  </si>
  <si>
    <t>LXA-2M6GXFP</t>
  </si>
  <si>
    <t>STL-07FP</t>
  </si>
  <si>
    <t>rev_tip_115_modFP</t>
  </si>
  <si>
    <t>定常時揚力分布</t>
  </si>
  <si>
    <t>各種パラメータ</t>
  </si>
  <si>
    <t>楕円理想</t>
  </si>
  <si>
    <t>誘導迎角</t>
  </si>
  <si>
    <t>Cl</t>
  </si>
  <si>
    <t>Cd</t>
  </si>
  <si>
    <t>Cm</t>
  </si>
  <si>
    <t>XCp</t>
  </si>
  <si>
    <t>局所揚力</t>
  </si>
  <si>
    <t>形状抵抗</t>
  </si>
  <si>
    <t>L初期値</t>
  </si>
  <si>
    <t>総揚力</t>
  </si>
  <si>
    <t>両翼形状抵抗</t>
  </si>
  <si>
    <t>全機Cl</t>
  </si>
  <si>
    <t>全機誘導抵抗</t>
  </si>
  <si>
    <t>主翼総合抵抗</t>
  </si>
  <si>
    <t>全機抵抗</t>
  </si>
  <si>
    <t>必要出力</t>
  </si>
  <si>
    <t>低速時揚力分布</t>
  </si>
  <si>
    <t>α</t>
  </si>
  <si>
    <t>Cdp</t>
  </si>
  <si>
    <t>Top Xtr</t>
  </si>
  <si>
    <t>Bot Xtr</t>
  </si>
  <si>
    <t>Cpmin</t>
  </si>
  <si>
    <t>Chinge</t>
  </si>
  <si>
    <t>翼根迎角</t>
    <rPh sb="0" eb="2">
      <t>ヨクコン</t>
    </rPh>
    <rPh sb="2" eb="4">
      <t>ゲイカク</t>
    </rPh>
    <phoneticPr fontId="1"/>
  </si>
  <si>
    <t>機速</t>
    <rPh sb="0" eb="1">
      <t>キ</t>
    </rPh>
    <rPh sb="1" eb="2">
      <t>ソク</t>
    </rPh>
    <phoneticPr fontId="1"/>
  </si>
  <si>
    <t>~</t>
    <phoneticPr fontId="1"/>
  </si>
  <si>
    <t>解析モード</t>
    <rPh sb="0" eb="2">
      <t>カイセキ</t>
    </rPh>
    <phoneticPr fontId="1"/>
  </si>
  <si>
    <t>1:α-v　2:α　3:v</t>
    <phoneticPr fontId="1"/>
  </si>
  <si>
    <t>解析範囲</t>
    <rPh sb="0" eb="2">
      <t>カイセキ</t>
    </rPh>
    <rPh sb="2" eb="4">
      <t>ハンイ</t>
    </rPh>
    <phoneticPr fontId="1"/>
  </si>
  <si>
    <t>モード1,2の時は
ここを参照→</t>
    <rPh sb="7" eb="8">
      <t>トキ</t>
    </rPh>
    <rPh sb="13" eb="15">
      <t>サンショウ</t>
    </rPh>
    <phoneticPr fontId="1"/>
  </si>
  <si>
    <t>v(m/s)</t>
    <phoneticPr fontId="1"/>
  </si>
  <si>
    <t>α(degree)</t>
    <phoneticPr fontId="1"/>
  </si>
  <si>
    <t>主翼形状抵抗</t>
    <rPh sb="0" eb="2">
      <t>シュヨク</t>
    </rPh>
    <rPh sb="2" eb="4">
      <t>ケイジョウ</t>
    </rPh>
    <rPh sb="4" eb="6">
      <t>テイコウ</t>
    </rPh>
    <phoneticPr fontId="1"/>
  </si>
  <si>
    <t>主翼誘導抵抗</t>
    <rPh sb="0" eb="2">
      <t>シュヨク</t>
    </rPh>
    <rPh sb="2" eb="4">
      <t>ユウドウ</t>
    </rPh>
    <rPh sb="4" eb="6">
      <t>テイコウ</t>
    </rPh>
    <phoneticPr fontId="1"/>
  </si>
  <si>
    <t>主翼抵抗</t>
    <rPh sb="0" eb="2">
      <t>シュヨク</t>
    </rPh>
    <rPh sb="2" eb="4">
      <t>テイコウ</t>
    </rPh>
    <phoneticPr fontId="1"/>
  </si>
  <si>
    <t>必要推力(全機抗力+5N)</t>
    <rPh sb="0" eb="2">
      <t>ヒツヨウ</t>
    </rPh>
    <rPh sb="2" eb="4">
      <t>スイリョク</t>
    </rPh>
    <rPh sb="5" eb="7">
      <t>ゼンキ</t>
    </rPh>
    <rPh sb="7" eb="9">
      <t>コウリョク</t>
    </rPh>
    <phoneticPr fontId="1"/>
  </si>
  <si>
    <t>Power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</si>
</sst>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6"/>
      <color theme="1"/>
      <name val="けいふぉんと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3" borderId="2" xfId="0" applyFill="1" applyBorder="1">
      <alignment vertical="center"/>
    </xf>
    <xf numFmtId="0" fontId="0" fillId="0" borderId="1" xfId="0" applyBorder="1" applyAlignment="1"/>
    <xf numFmtId="0" fontId="0" fillId="0" borderId="0" xfId="0" applyAlignment="1"/>
    <xf numFmtId="0" fontId="0" fillId="0" borderId="8" xfId="0" applyBorder="1">
      <alignment vertical="center"/>
    </xf>
    <xf numFmtId="0" fontId="0" fillId="2" borderId="4" xfId="0" applyFill="1" applyBorder="1">
      <alignment vertical="center"/>
    </xf>
    <xf numFmtId="0" fontId="0" fillId="0" borderId="10" xfId="0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/>
    <xf numFmtId="0" fontId="0" fillId="4" borderId="9" xfId="0" applyFill="1" applyBorder="1">
      <alignment vertical="center"/>
    </xf>
    <xf numFmtId="0" fontId="3" fillId="0" borderId="0" xfId="1">
      <alignment vertical="center"/>
    </xf>
    <xf numFmtId="0" fontId="0" fillId="2" borderId="0" xfId="0" applyFill="1" applyAlignment="1"/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0" xfId="0" applyAlignment="1">
      <alignment horizontal="left" vertical="top" wrapText="1"/>
    </xf>
    <xf numFmtId="0" fontId="0" fillId="0" borderId="0" xfId="0">
      <alignment vertical="center"/>
    </xf>
    <xf numFmtId="0" fontId="0" fillId="0" borderId="0" xfId="0" applyAlignment="1"/>
    <xf numFmtId="0" fontId="0" fillId="0" borderId="5" xfId="0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3" xfId="0" applyBorder="1" applyAlignment="1"/>
    <xf numFmtId="0" fontId="0" fillId="0" borderId="5" xfId="0" applyBorder="1" applyAlignment="1"/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11" xfId="0" applyBorder="1" applyAlignme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主翼平面形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BASE!$E$37:$E$42</c:f>
              <c:numCache>
                <c:formatCode>General</c:formatCode>
                <c:ptCount val="6"/>
                <c:pt idx="0">
                  <c:v>0</c:v>
                </c:pt>
                <c:pt idx="1">
                  <c:v>1500</c:v>
                </c:pt>
                <c:pt idx="2">
                  <c:v>4200</c:v>
                </c:pt>
                <c:pt idx="3">
                  <c:v>6900</c:v>
                </c:pt>
                <c:pt idx="4">
                  <c:v>9400</c:v>
                </c:pt>
                <c:pt idx="5">
                  <c:v>10900</c:v>
                </c:pt>
              </c:numCache>
            </c:numRef>
          </c:xVal>
          <c:yVal>
            <c:numRef>
              <c:f>BASE!$F$37:$F$42</c:f>
              <c:numCache>
                <c:formatCode>General</c:formatCode>
                <c:ptCount val="6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660</c:v>
                </c:pt>
                <c:pt idx="4">
                  <c:v>540</c:v>
                </c:pt>
                <c:pt idx="5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4E-4529-A6F5-CA7F5B019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1344"/>
        <c:axId val="20561824"/>
      </c:scatterChart>
      <c:valAx>
        <c:axId val="2056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61824"/>
        <c:crosses val="autoZero"/>
        <c:crossBetween val="midCat"/>
      </c:valAx>
      <c:valAx>
        <c:axId val="205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6134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主翼平面形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BASE!$E$37:$E$42</c:f>
              <c:numCache>
                <c:formatCode>General</c:formatCode>
                <c:ptCount val="6"/>
                <c:pt idx="0">
                  <c:v>0</c:v>
                </c:pt>
                <c:pt idx="1">
                  <c:v>1500</c:v>
                </c:pt>
                <c:pt idx="2">
                  <c:v>4200</c:v>
                </c:pt>
                <c:pt idx="3">
                  <c:v>6900</c:v>
                </c:pt>
                <c:pt idx="4">
                  <c:v>9400</c:v>
                </c:pt>
                <c:pt idx="5">
                  <c:v>10900</c:v>
                </c:pt>
              </c:numCache>
            </c:numRef>
          </c:xVal>
          <c:yVal>
            <c:numRef>
              <c:f>BASE!$F$37:$F$42</c:f>
              <c:numCache>
                <c:formatCode>General</c:formatCode>
                <c:ptCount val="6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660</c:v>
                </c:pt>
                <c:pt idx="4">
                  <c:v>540</c:v>
                </c:pt>
                <c:pt idx="5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5E-4AD6-B002-32DE9813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61344"/>
        <c:axId val="20561824"/>
      </c:scatterChart>
      <c:valAx>
        <c:axId val="2056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61824"/>
        <c:crosses val="autoZero"/>
        <c:crossBetween val="midCat"/>
      </c:valAx>
      <c:valAx>
        <c:axId val="205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6134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揚力分布だよ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楕円分布</c:v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定常時揚力分布!$A$4:$A$181</c:f>
              <c:numCache>
                <c:formatCode>General</c:formatCode>
                <c:ptCount val="17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</c:numCache>
            </c:numRef>
          </c:xVal>
          <c:yVal>
            <c:numRef>
              <c:f>定常時揚力分布!$C$4:$C$181</c:f>
              <c:numCache>
                <c:formatCode>General</c:formatCode>
                <c:ptCount val="178"/>
                <c:pt idx="0">
                  <c:v>5.2564935333103051</c:v>
                </c:pt>
                <c:pt idx="1">
                  <c:v>5.2562723143832324</c:v>
                </c:pt>
                <c:pt idx="2">
                  <c:v>5.2556086017327699</c:v>
                </c:pt>
                <c:pt idx="3">
                  <c:v>5.2545022276806117</c:v>
                </c:pt>
                <c:pt idx="4">
                  <c:v>5.252952912527463</c:v>
                </c:pt>
                <c:pt idx="5">
                  <c:v>5.250960264199132</c:v>
                </c:pt>
                <c:pt idx="6">
                  <c:v>5.2485237777495968</c:v>
                </c:pt>
                <c:pt idx="7">
                  <c:v>5.2456428347195718</c:v>
                </c:pt>
                <c:pt idx="8">
                  <c:v>5.242316702348675</c:v>
                </c:pt>
                <c:pt idx="9">
                  <c:v>5.2385445326388327</c:v>
                </c:pt>
                <c:pt idx="10">
                  <c:v>5.2343253612661229</c:v>
                </c:pt>
                <c:pt idx="11">
                  <c:v>5.2296581063377818</c:v>
                </c:pt>
                <c:pt idx="12">
                  <c:v>5.2245415669905837</c:v>
                </c:pt>
                <c:pt idx="13">
                  <c:v>5.2189744218263421</c:v>
                </c:pt>
                <c:pt idx="14">
                  <c:v>5.2129552271796831</c:v>
                </c:pt>
                <c:pt idx="15">
                  <c:v>5.2064824152127489</c:v>
                </c:pt>
                <c:pt idx="16">
                  <c:v>5.199554291830828</c:v>
                </c:pt>
                <c:pt idx="17">
                  <c:v>5.192169034412343</c:v>
                </c:pt>
                <c:pt idx="18">
                  <c:v>5.1843246893459174</c:v>
                </c:pt>
                <c:pt idx="19">
                  <c:v>5.17601916936656</c:v>
                </c:pt>
                <c:pt idx="20">
                  <c:v>5.1672502506822484</c:v>
                </c:pt>
                <c:pt idx="21">
                  <c:v>5.1580155698813703</c:v>
                </c:pt>
                <c:pt idx="22">
                  <c:v>5.1483126206106338</c:v>
                </c:pt>
                <c:pt idx="23">
                  <c:v>5.1381387500121116</c:v>
                </c:pt>
                <c:pt idx="24">
                  <c:v>5.1274911549071005</c:v>
                </c:pt>
                <c:pt idx="25">
                  <c:v>5.1163668777133529</c:v>
                </c:pt>
                <c:pt idx="26">
                  <c:v>5.1047628020811331</c:v>
                </c:pt>
                <c:pt idx="27">
                  <c:v>5.0926756482322117</c:v>
                </c:pt>
                <c:pt idx="28">
                  <c:v>5.0801019679845751</c:v>
                </c:pt>
                <c:pt idx="29">
                  <c:v>5.0670381394441213</c:v>
                </c:pt>
                <c:pt idx="30">
                  <c:v>5.0534803613429755</c:v>
                </c:pt>
                <c:pt idx="31">
                  <c:v>5.0394246470022903</c:v>
                </c:pt>
                <c:pt idx="32">
                  <c:v>5.0248668178954139</c:v>
                </c:pt>
                <c:pt idx="33">
                  <c:v>5.0098024967852597</c:v>
                </c:pt>
                <c:pt idx="34">
                  <c:v>4.9942271004072767</c:v>
                </c:pt>
                <c:pt idx="35">
                  <c:v>4.9781358316669442</c:v>
                </c:pt>
                <c:pt idx="36">
                  <c:v>4.9615236713178561</c:v>
                </c:pt>
                <c:pt idx="37">
                  <c:v>4.9443853690833723</c:v>
                </c:pt>
                <c:pt idx="38">
                  <c:v>4.9267154341813999</c:v>
                </c:pt>
                <c:pt idx="39">
                  <c:v>4.9085081252081002</c:v>
                </c:pt>
                <c:pt idx="40">
                  <c:v>4.8897574393321266</c:v>
                </c:pt>
                <c:pt idx="41">
                  <c:v>4.8704571007463988</c:v>
                </c:pt>
                <c:pt idx="42">
                  <c:v>4.8506005483192887</c:v>
                </c:pt>
                <c:pt idx="43">
                  <c:v>4.8301809223813708</c:v>
                </c:pt>
                <c:pt idx="44">
                  <c:v>4.8091910505776072</c:v>
                </c:pt>
                <c:pt idx="45">
                  <c:v>4.7876234327076883</c:v>
                </c:pt>
                <c:pt idx="46">
                  <c:v>4.765470224469456</c:v>
                </c:pt>
                <c:pt idx="47">
                  <c:v>4.7427232200114089</c:v>
                </c:pt>
                <c:pt idx="48">
                  <c:v>4.7193738331904829</c:v>
                </c:pt>
                <c:pt idx="49">
                  <c:v>4.6954130774201213</c:v>
                </c:pt>
                <c:pt idx="50">
                  <c:v>4.6708315439812171</c:v>
                </c:pt>
                <c:pt idx="51">
                  <c:v>4.645619378654394</c:v>
                </c:pt>
                <c:pt idx="52">
                  <c:v>4.6197662565162041</c:v>
                </c:pt>
                <c:pt idx="53">
                  <c:v>4.5932613547238361</c:v>
                </c:pt>
                <c:pt idx="54">
                  <c:v>4.5660933230925504</c:v>
                </c:pt>
                <c:pt idx="55">
                  <c:v>4.53825025224684</c:v>
                </c:pt>
                <c:pt idx="56">
                  <c:v>4.5097196390999592</c:v>
                </c:pt>
                <c:pt idx="57">
                  <c:v>4.4804883493863059</c:v>
                </c:pt>
                <c:pt idx="58">
                  <c:v>4.450542576936682</c:v>
                </c:pt>
                <c:pt idx="59">
                  <c:v>4.4198677993468536</c:v>
                </c:pt>
                <c:pt idx="60">
                  <c:v>4.3884487296443835</c:v>
                </c:pt>
                <c:pt idx="61">
                  <c:v>4.3562692635061966</c:v>
                </c:pt>
                <c:pt idx="62">
                  <c:v>4.3233124215186498</c:v>
                </c:pt>
                <c:pt idx="63">
                  <c:v>4.2895602859014934</c:v>
                </c:pt>
                <c:pt idx="64">
                  <c:v>4.2549939310351963</c:v>
                </c:pt>
                <c:pt idx="65">
                  <c:v>4.219593347035544</c:v>
                </c:pt>
                <c:pt idx="66">
                  <c:v>4.1833373555074553</c:v>
                </c:pt>
                <c:pt idx="67">
                  <c:v>4.1462035164785158</c:v>
                </c:pt>
                <c:pt idx="68">
                  <c:v>4.1081680253576192</c:v>
                </c:pt>
                <c:pt idx="69">
                  <c:v>4.069205598580619</c:v>
                </c:pt>
                <c:pt idx="70">
                  <c:v>4.0292893463868031</c:v>
                </c:pt>
                <c:pt idx="71">
                  <c:v>3.9883906309098842</c:v>
                </c:pt>
                <c:pt idx="72">
                  <c:v>3.9464789074554187</c:v>
                </c:pt>
                <c:pt idx="73">
                  <c:v>3.9035215464614117</c:v>
                </c:pt>
                <c:pt idx="74">
                  <c:v>3.859483633185103</c:v>
                </c:pt>
                <c:pt idx="75">
                  <c:v>3.8143277416074373</c:v>
                </c:pt>
                <c:pt idx="76">
                  <c:v>3.7680136783729585</c:v>
                </c:pt>
                <c:pt idx="77">
                  <c:v>3.7204981917550435</c:v>
                </c:pt>
                <c:pt idx="78">
                  <c:v>3.6717346396133523</c:v>
                </c:pt>
                <c:pt idx="79">
                  <c:v>3.6216726090382414</c:v>
                </c:pt>
                <c:pt idx="80">
                  <c:v>3.5702574787844554</c:v>
                </c:pt>
                <c:pt idx="81">
                  <c:v>3.5174299135891856</c:v>
                </c:pt>
                <c:pt idx="82">
                  <c:v>3.4631252769203895</c:v>
                </c:pt>
                <c:pt idx="83">
                  <c:v>3.4072729454381907</c:v>
                </c:pt>
                <c:pt idx="84">
                  <c:v>3.3497955042393817</c:v>
                </c:pt>
                <c:pt idx="85">
                  <c:v>3.2906077964666212</c:v>
                </c:pt>
                <c:pt idx="86">
                  <c:v>3.2296157936430565</c:v>
                </c:pt>
                <c:pt idx="87">
                  <c:v>3.1667152434924803</c:v>
                </c:pt>
                <c:pt idx="88">
                  <c:v>3.1017900390941713</c:v>
                </c:pt>
                <c:pt idx="89">
                  <c:v>3.0347102356431357</c:v>
                </c:pt>
                <c:pt idx="90">
                  <c:v>2.9653296168297767</c:v>
                </c:pt>
                <c:pt idx="91">
                  <c:v>2.8934826788864068</c:v>
                </c:pt>
                <c:pt idx="92">
                  <c:v>2.8189808520138433</c:v>
                </c:pt>
                <c:pt idx="93">
                  <c:v>2.7416077088932589</c:v>
                </c:pt>
                <c:pt idx="94">
                  <c:v>2.6611128065796845</c:v>
                </c:pt>
                <c:pt idx="95">
                  <c:v>2.5772036519567258</c:v>
                </c:pt>
                <c:pt idx="96">
                  <c:v>2.4895350394025342</c:v>
                </c:pt>
                <c:pt idx="97">
                  <c:v>2.3976946251772939</c:v>
                </c:pt>
                <c:pt idx="98">
                  <c:v>2.3011829725670232</c:v>
                </c:pt>
                <c:pt idx="99">
                  <c:v>2.1993852289442004</c:v>
                </c:pt>
                <c:pt idx="100">
                  <c:v>2.0915296918286099</c:v>
                </c:pt>
                <c:pt idx="101">
                  <c:v>1.9766249701803928</c:v>
                </c:pt>
                <c:pt idx="102">
                  <c:v>1.8533604204573408</c:v>
                </c:pt>
                <c:pt idx="103">
                  <c:v>1.7199395855471777</c:v>
                </c:pt>
                <c:pt idx="104">
                  <c:v>1.5737815166610005</c:v>
                </c:pt>
                <c:pt idx="105">
                  <c:v>1.4109334147551436</c:v>
                </c:pt>
                <c:pt idx="106">
                  <c:v>1.2247557691224149</c:v>
                </c:pt>
                <c:pt idx="107">
                  <c:v>1.0023318021303524</c:v>
                </c:pt>
                <c:pt idx="108">
                  <c:v>0.71039435777765925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7-4C56-B588-64F0D95E2BC0}"/>
            </c:ext>
          </c:extLst>
        </c:ser>
        <c:ser>
          <c:idx val="1"/>
          <c:order val="1"/>
          <c:tx>
            <c:v>局所揚力分布</c:v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定常時揚力分布!$A$4:$A$181</c:f>
              <c:numCache>
                <c:formatCode>General</c:formatCode>
                <c:ptCount val="17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</c:numCache>
            </c:numRef>
          </c:xVal>
          <c:yVal>
            <c:numRef>
              <c:f>定常時揚力分布!$I$4:$I$181</c:f>
              <c:numCache>
                <c:formatCode>General</c:formatCode>
                <c:ptCount val="178"/>
                <c:pt idx="0">
                  <c:v>5.2189389656538632</c:v>
                </c:pt>
                <c:pt idx="1">
                  <c:v>5.2189093322502744</c:v>
                </c:pt>
                <c:pt idx="2">
                  <c:v>5.2187756970165671</c:v>
                </c:pt>
                <c:pt idx="3">
                  <c:v>5.2185525787368334</c:v>
                </c:pt>
                <c:pt idx="4">
                  <c:v>5.2182695167368838</c:v>
                </c:pt>
                <c:pt idx="5">
                  <c:v>5.217864939831566</c:v>
                </c:pt>
                <c:pt idx="6">
                  <c:v>5.2173832572916812</c:v>
                </c:pt>
                <c:pt idx="7">
                  <c:v>5.2168395451366356</c:v>
                </c:pt>
                <c:pt idx="8">
                  <c:v>5.2161527116687862</c:v>
                </c:pt>
                <c:pt idx="9">
                  <c:v>5.215399681841455</c:v>
                </c:pt>
                <c:pt idx="10">
                  <c:v>5.2145650749754475</c:v>
                </c:pt>
                <c:pt idx="11">
                  <c:v>5.2135919467365808</c:v>
                </c:pt>
                <c:pt idx="12">
                  <c:v>5.212546713392114</c:v>
                </c:pt>
                <c:pt idx="13">
                  <c:v>5.2113963344754808</c:v>
                </c:pt>
                <c:pt idx="14">
                  <c:v>5.2101087155251733</c:v>
                </c:pt>
                <c:pt idx="15">
                  <c:v>5.2087404164595963</c:v>
                </c:pt>
                <c:pt idx="16">
                  <c:v>5.2072377690238518</c:v>
                </c:pt>
                <c:pt idx="17">
                  <c:v>5.2055951609417015</c:v>
                </c:pt>
                <c:pt idx="18">
                  <c:v>5.2038597624733125</c:v>
                </c:pt>
                <c:pt idx="19">
                  <c:v>5.2019477551976046</c:v>
                </c:pt>
                <c:pt idx="20">
                  <c:v>5.1998868013150545</c:v>
                </c:pt>
                <c:pt idx="21">
                  <c:v>5.1977155479606196</c:v>
                </c:pt>
                <c:pt idx="22">
                  <c:v>5.1953236592725709</c:v>
                </c:pt>
                <c:pt idx="23">
                  <c:v>5.1927673783177477</c:v>
                </c:pt>
                <c:pt idx="24">
                  <c:v>5.1900758544419725</c:v>
                </c:pt>
                <c:pt idx="25">
                  <c:v>5.1870984923033641</c:v>
                </c:pt>
                <c:pt idx="26">
                  <c:v>5.1839276822740814</c:v>
                </c:pt>
                <c:pt idx="27">
                  <c:v>5.1805842745847022</c:v>
                </c:pt>
                <c:pt idx="28">
                  <c:v>5.1768646262266387</c:v>
                </c:pt>
                <c:pt idx="29">
                  <c:v>5.1728989412267206</c:v>
                </c:pt>
                <c:pt idx="30">
                  <c:v>5.1687017620659734</c:v>
                </c:pt>
                <c:pt idx="31">
                  <c:v>5.1639972137570682</c:v>
                </c:pt>
                <c:pt idx="32">
                  <c:v>5.1589475820342328</c:v>
                </c:pt>
                <c:pt idx="33">
                  <c:v>5.1535661981145635</c:v>
                </c:pt>
                <c:pt idx="34">
                  <c:v>5.1474740670097239</c:v>
                </c:pt>
                <c:pt idx="35">
                  <c:v>5.1408345820181802</c:v>
                </c:pt>
                <c:pt idx="36">
                  <c:v>5.1336807000221434</c:v>
                </c:pt>
                <c:pt idx="37">
                  <c:v>5.1254649602087987</c:v>
                </c:pt>
                <c:pt idx="38">
                  <c:v>5.1162150782385432</c:v>
                </c:pt>
                <c:pt idx="39">
                  <c:v>5.1059779899332973</c:v>
                </c:pt>
                <c:pt idx="40">
                  <c:v>5.0939126293565922</c:v>
                </c:pt>
                <c:pt idx="41">
                  <c:v>5.0790013640989873</c:v>
                </c:pt>
                <c:pt idx="42">
                  <c:v>5.0708593460260438</c:v>
                </c:pt>
                <c:pt idx="43">
                  <c:v>5.042285404217969</c:v>
                </c:pt>
                <c:pt idx="44">
                  <c:v>5.0114448720554226</c:v>
                </c:pt>
                <c:pt idx="45">
                  <c:v>4.9799990362137718</c:v>
                </c:pt>
                <c:pt idx="46">
                  <c:v>4.9470186420732816</c:v>
                </c:pt>
                <c:pt idx="47">
                  <c:v>4.9122456660139058</c:v>
                </c:pt>
                <c:pt idx="48">
                  <c:v>4.8767243071689048</c:v>
                </c:pt>
                <c:pt idx="49">
                  <c:v>4.8405236403431111</c:v>
                </c:pt>
                <c:pt idx="50">
                  <c:v>4.8035462136759612</c:v>
                </c:pt>
                <c:pt idx="51">
                  <c:v>4.7659278933363236</c:v>
                </c:pt>
                <c:pt idx="52">
                  <c:v>4.7279138377527437</c:v>
                </c:pt>
                <c:pt idx="53">
                  <c:v>4.6895289976196288</c:v>
                </c:pt>
                <c:pt idx="54">
                  <c:v>4.6506294484754465</c:v>
                </c:pt>
                <c:pt idx="55">
                  <c:v>4.6113985052020832</c:v>
                </c:pt>
                <c:pt idx="56">
                  <c:v>4.5719007720907561</c:v>
                </c:pt>
                <c:pt idx="57">
                  <c:v>4.5321456586809914</c:v>
                </c:pt>
                <c:pt idx="58">
                  <c:v>4.4919090712199896</c:v>
                </c:pt>
                <c:pt idx="59">
                  <c:v>4.4513845726132848</c:v>
                </c:pt>
                <c:pt idx="60">
                  <c:v>4.4106154320894753</c:v>
                </c:pt>
                <c:pt idx="61">
                  <c:v>4.3694966503553543</c:v>
                </c:pt>
                <c:pt idx="62">
                  <c:v>4.3272716501012622</c:v>
                </c:pt>
                <c:pt idx="63">
                  <c:v>4.2852611070068773</c:v>
                </c:pt>
                <c:pt idx="64">
                  <c:v>4.2429529644135631</c:v>
                </c:pt>
                <c:pt idx="65">
                  <c:v>4.2001608314055572</c:v>
                </c:pt>
                <c:pt idx="66">
                  <c:v>4.1568139150483967</c:v>
                </c:pt>
                <c:pt idx="67">
                  <c:v>4.1125238187012654</c:v>
                </c:pt>
                <c:pt idx="68">
                  <c:v>4.06697130492753</c:v>
                </c:pt>
                <c:pt idx="69">
                  <c:v>4.0256740750699294</c:v>
                </c:pt>
                <c:pt idx="70">
                  <c:v>3.9800909589540154</c:v>
                </c:pt>
                <c:pt idx="71">
                  <c:v>3.9288258147382806</c:v>
                </c:pt>
                <c:pt idx="72">
                  <c:v>3.8764500988335238</c:v>
                </c:pt>
                <c:pt idx="73">
                  <c:v>3.8232698573900414</c:v>
                </c:pt>
                <c:pt idx="74">
                  <c:v>3.7696910123507608</c:v>
                </c:pt>
                <c:pt idx="75">
                  <c:v>3.715899960664772</c:v>
                </c:pt>
                <c:pt idx="76">
                  <c:v>3.6618798476925649</c:v>
                </c:pt>
                <c:pt idx="77">
                  <c:v>3.6075569693836509</c:v>
                </c:pt>
                <c:pt idx="78">
                  <c:v>3.5528928730293603</c:v>
                </c:pt>
                <c:pt idx="79">
                  <c:v>3.4979528616367315</c:v>
                </c:pt>
                <c:pt idx="80">
                  <c:v>3.4440150140606756</c:v>
                </c:pt>
                <c:pt idx="81">
                  <c:v>3.3828339502285232</c:v>
                </c:pt>
                <c:pt idx="82">
                  <c:v>3.3277453397323038</c:v>
                </c:pt>
                <c:pt idx="83">
                  <c:v>3.2716358297553381</c:v>
                </c:pt>
                <c:pt idx="84">
                  <c:v>3.2152632131908803</c:v>
                </c:pt>
                <c:pt idx="85">
                  <c:v>3.1584456593181516</c:v>
                </c:pt>
                <c:pt idx="86">
                  <c:v>3.1007496247491311</c:v>
                </c:pt>
                <c:pt idx="87">
                  <c:v>3.0422339962424352</c:v>
                </c:pt>
                <c:pt idx="88">
                  <c:v>2.9803385040459713</c:v>
                </c:pt>
                <c:pt idx="89">
                  <c:v>2.9174795204407271</c:v>
                </c:pt>
                <c:pt idx="90">
                  <c:v>2.853653542200917</c:v>
                </c:pt>
                <c:pt idx="91">
                  <c:v>2.7893190323036823</c:v>
                </c:pt>
                <c:pt idx="92">
                  <c:v>2.7233377923210438</c:v>
                </c:pt>
                <c:pt idx="93">
                  <c:v>2.6538465921841325</c:v>
                </c:pt>
                <c:pt idx="94">
                  <c:v>2.590007131993195</c:v>
                </c:pt>
                <c:pt idx="95">
                  <c:v>2.4708336989566053</c:v>
                </c:pt>
                <c:pt idx="96">
                  <c:v>2.3774556202905628</c:v>
                </c:pt>
                <c:pt idx="97">
                  <c:v>2.277060776344713</c:v>
                </c:pt>
                <c:pt idx="98">
                  <c:v>2.1731921847637681</c:v>
                </c:pt>
                <c:pt idx="99">
                  <c:v>2.0658350902159612</c:v>
                </c:pt>
                <c:pt idx="100">
                  <c:v>1.9551025115781853</c:v>
                </c:pt>
                <c:pt idx="101">
                  <c:v>1.8423010863245968</c:v>
                </c:pt>
                <c:pt idx="102">
                  <c:v>1.7358170986751631</c:v>
                </c:pt>
                <c:pt idx="103">
                  <c:v>1.6196762999757561</c:v>
                </c:pt>
                <c:pt idx="104">
                  <c:v>1.4973777998221958</c:v>
                </c:pt>
                <c:pt idx="105">
                  <c:v>1.3656652786811083</c:v>
                </c:pt>
                <c:pt idx="106">
                  <c:v>1.2187663997495097</c:v>
                </c:pt>
                <c:pt idx="107">
                  <c:v>1.042777426685662</c:v>
                </c:pt>
                <c:pt idx="108">
                  <c:v>0.8123956389000182</c:v>
                </c:pt>
                <c:pt idx="109">
                  <c:v>0.26674244356580484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27-4C56-B588-64F0D95E2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40752"/>
        <c:axId val="1213449872"/>
      </c:scatterChart>
      <c:valAx>
        <c:axId val="12134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449872"/>
        <c:crosses val="autoZero"/>
        <c:crossBetween val="midCat"/>
      </c:valAx>
      <c:valAx>
        <c:axId val="12134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44075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揚力分布だよ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楕円分布</c:v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低速時揚力分布!$A$4:$A$181</c:f>
              <c:numCache>
                <c:formatCode>General</c:formatCode>
                <c:ptCount val="17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</c:numCache>
            </c:numRef>
          </c:xVal>
          <c:yVal>
            <c:numRef>
              <c:f>低速時揚力分布!$C$4:$C$181</c:f>
              <c:numCache>
                <c:formatCode>General</c:formatCode>
                <c:ptCount val="178"/>
                <c:pt idx="0">
                  <c:v>5.2564935333103051</c:v>
                </c:pt>
                <c:pt idx="1">
                  <c:v>5.2562723143832324</c:v>
                </c:pt>
                <c:pt idx="2">
                  <c:v>5.2556086017327699</c:v>
                </c:pt>
                <c:pt idx="3">
                  <c:v>5.2545022276806117</c:v>
                </c:pt>
                <c:pt idx="4">
                  <c:v>5.252952912527463</c:v>
                </c:pt>
                <c:pt idx="5">
                  <c:v>5.250960264199132</c:v>
                </c:pt>
                <c:pt idx="6">
                  <c:v>5.2485237777495968</c:v>
                </c:pt>
                <c:pt idx="7">
                  <c:v>5.2456428347195718</c:v>
                </c:pt>
                <c:pt idx="8">
                  <c:v>5.242316702348675</c:v>
                </c:pt>
                <c:pt idx="9">
                  <c:v>5.2385445326388327</c:v>
                </c:pt>
                <c:pt idx="10">
                  <c:v>5.2343253612661229</c:v>
                </c:pt>
                <c:pt idx="11">
                  <c:v>5.2296581063377818</c:v>
                </c:pt>
                <c:pt idx="12">
                  <c:v>5.2245415669905837</c:v>
                </c:pt>
                <c:pt idx="13">
                  <c:v>5.2189744218263421</c:v>
                </c:pt>
                <c:pt idx="14">
                  <c:v>5.2129552271796831</c:v>
                </c:pt>
                <c:pt idx="15">
                  <c:v>5.2064824152127489</c:v>
                </c:pt>
                <c:pt idx="16">
                  <c:v>5.199554291830828</c:v>
                </c:pt>
                <c:pt idx="17">
                  <c:v>5.192169034412343</c:v>
                </c:pt>
                <c:pt idx="18">
                  <c:v>5.1843246893459174</c:v>
                </c:pt>
                <c:pt idx="19">
                  <c:v>5.17601916936656</c:v>
                </c:pt>
                <c:pt idx="20">
                  <c:v>5.1672502506822484</c:v>
                </c:pt>
                <c:pt idx="21">
                  <c:v>5.1580155698813703</c:v>
                </c:pt>
                <c:pt idx="22">
                  <c:v>5.1483126206106338</c:v>
                </c:pt>
                <c:pt idx="23">
                  <c:v>5.1381387500121116</c:v>
                </c:pt>
                <c:pt idx="24">
                  <c:v>5.1274911549071005</c:v>
                </c:pt>
                <c:pt idx="25">
                  <c:v>5.1163668777133529</c:v>
                </c:pt>
                <c:pt idx="26">
                  <c:v>5.1047628020811331</c:v>
                </c:pt>
                <c:pt idx="27">
                  <c:v>5.0926756482322117</c:v>
                </c:pt>
                <c:pt idx="28">
                  <c:v>5.0801019679845751</c:v>
                </c:pt>
                <c:pt idx="29">
                  <c:v>5.0670381394441213</c:v>
                </c:pt>
                <c:pt idx="30">
                  <c:v>5.0534803613429755</c:v>
                </c:pt>
                <c:pt idx="31">
                  <c:v>5.0394246470022903</c:v>
                </c:pt>
                <c:pt idx="32">
                  <c:v>5.0248668178954139</c:v>
                </c:pt>
                <c:pt idx="33">
                  <c:v>5.0098024967852597</c:v>
                </c:pt>
                <c:pt idx="34">
                  <c:v>4.9942271004072767</c:v>
                </c:pt>
                <c:pt idx="35">
                  <c:v>4.9781358316669442</c:v>
                </c:pt>
                <c:pt idx="36">
                  <c:v>4.9615236713178561</c:v>
                </c:pt>
                <c:pt idx="37">
                  <c:v>4.9443853690833723</c:v>
                </c:pt>
                <c:pt idx="38">
                  <c:v>4.9267154341813999</c:v>
                </c:pt>
                <c:pt idx="39">
                  <c:v>4.9085081252081002</c:v>
                </c:pt>
                <c:pt idx="40">
                  <c:v>4.8897574393321266</c:v>
                </c:pt>
                <c:pt idx="41">
                  <c:v>4.8704571007463988</c:v>
                </c:pt>
                <c:pt idx="42">
                  <c:v>4.8506005483192887</c:v>
                </c:pt>
                <c:pt idx="43">
                  <c:v>4.8301809223813708</c:v>
                </c:pt>
                <c:pt idx="44">
                  <c:v>4.8091910505776072</c:v>
                </c:pt>
                <c:pt idx="45">
                  <c:v>4.7876234327076883</c:v>
                </c:pt>
                <c:pt idx="46">
                  <c:v>4.765470224469456</c:v>
                </c:pt>
                <c:pt idx="47">
                  <c:v>4.7427232200114089</c:v>
                </c:pt>
                <c:pt idx="48">
                  <c:v>4.7193738331904829</c:v>
                </c:pt>
                <c:pt idx="49">
                  <c:v>4.6954130774201213</c:v>
                </c:pt>
                <c:pt idx="50">
                  <c:v>4.6708315439812171</c:v>
                </c:pt>
                <c:pt idx="51">
                  <c:v>4.645619378654394</c:v>
                </c:pt>
                <c:pt idx="52">
                  <c:v>4.6197662565162041</c:v>
                </c:pt>
                <c:pt idx="53">
                  <c:v>4.5932613547238361</c:v>
                </c:pt>
                <c:pt idx="54">
                  <c:v>4.5660933230925504</c:v>
                </c:pt>
                <c:pt idx="55">
                  <c:v>4.53825025224684</c:v>
                </c:pt>
                <c:pt idx="56">
                  <c:v>4.5097196390999592</c:v>
                </c:pt>
                <c:pt idx="57">
                  <c:v>4.4804883493863059</c:v>
                </c:pt>
                <c:pt idx="58">
                  <c:v>4.450542576936682</c:v>
                </c:pt>
                <c:pt idx="59">
                  <c:v>4.4198677993468536</c:v>
                </c:pt>
                <c:pt idx="60">
                  <c:v>4.3884487296443835</c:v>
                </c:pt>
                <c:pt idx="61">
                  <c:v>4.3562692635061966</c:v>
                </c:pt>
                <c:pt idx="62">
                  <c:v>4.3233124215186498</c:v>
                </c:pt>
                <c:pt idx="63">
                  <c:v>4.2895602859014934</c:v>
                </c:pt>
                <c:pt idx="64">
                  <c:v>4.2549939310351963</c:v>
                </c:pt>
                <c:pt idx="65">
                  <c:v>4.219593347035544</c:v>
                </c:pt>
                <c:pt idx="66">
                  <c:v>4.1833373555074553</c:v>
                </c:pt>
                <c:pt idx="67">
                  <c:v>4.1462035164785158</c:v>
                </c:pt>
                <c:pt idx="68">
                  <c:v>4.1081680253576192</c:v>
                </c:pt>
                <c:pt idx="69">
                  <c:v>4.069205598580619</c:v>
                </c:pt>
                <c:pt idx="70">
                  <c:v>4.0292893463868031</c:v>
                </c:pt>
                <c:pt idx="71">
                  <c:v>3.9883906309098842</c:v>
                </c:pt>
                <c:pt idx="72">
                  <c:v>3.9464789074554187</c:v>
                </c:pt>
                <c:pt idx="73">
                  <c:v>3.9035215464614117</c:v>
                </c:pt>
                <c:pt idx="74">
                  <c:v>3.859483633185103</c:v>
                </c:pt>
                <c:pt idx="75">
                  <c:v>3.8143277416074373</c:v>
                </c:pt>
                <c:pt idx="76">
                  <c:v>3.7680136783729585</c:v>
                </c:pt>
                <c:pt idx="77">
                  <c:v>3.7204981917550435</c:v>
                </c:pt>
                <c:pt idx="78">
                  <c:v>3.6717346396133523</c:v>
                </c:pt>
                <c:pt idx="79">
                  <c:v>3.6216726090382414</c:v>
                </c:pt>
                <c:pt idx="80">
                  <c:v>3.5702574787844554</c:v>
                </c:pt>
                <c:pt idx="81">
                  <c:v>3.5174299135891856</c:v>
                </c:pt>
                <c:pt idx="82">
                  <c:v>3.4631252769203895</c:v>
                </c:pt>
                <c:pt idx="83">
                  <c:v>3.4072729454381907</c:v>
                </c:pt>
                <c:pt idx="84">
                  <c:v>3.3497955042393817</c:v>
                </c:pt>
                <c:pt idx="85">
                  <c:v>3.2906077964666212</c:v>
                </c:pt>
                <c:pt idx="86">
                  <c:v>3.2296157936430565</c:v>
                </c:pt>
                <c:pt idx="87">
                  <c:v>3.1667152434924803</c:v>
                </c:pt>
                <c:pt idx="88">
                  <c:v>3.1017900390941713</c:v>
                </c:pt>
                <c:pt idx="89">
                  <c:v>3.0347102356431357</c:v>
                </c:pt>
                <c:pt idx="90">
                  <c:v>2.9653296168297767</c:v>
                </c:pt>
                <c:pt idx="91">
                  <c:v>2.8934826788864068</c:v>
                </c:pt>
                <c:pt idx="92">
                  <c:v>2.8189808520138433</c:v>
                </c:pt>
                <c:pt idx="93">
                  <c:v>2.7416077088932589</c:v>
                </c:pt>
                <c:pt idx="94">
                  <c:v>2.6611128065796845</c:v>
                </c:pt>
                <c:pt idx="95">
                  <c:v>2.5772036519567258</c:v>
                </c:pt>
                <c:pt idx="96">
                  <c:v>2.4895350394025342</c:v>
                </c:pt>
                <c:pt idx="97">
                  <c:v>2.3976946251772939</c:v>
                </c:pt>
                <c:pt idx="98">
                  <c:v>2.3011829725670232</c:v>
                </c:pt>
                <c:pt idx="99">
                  <c:v>2.1993852289442004</c:v>
                </c:pt>
                <c:pt idx="100">
                  <c:v>2.0915296918286099</c:v>
                </c:pt>
                <c:pt idx="101">
                  <c:v>1.9766249701803928</c:v>
                </c:pt>
                <c:pt idx="102">
                  <c:v>1.8533604204573408</c:v>
                </c:pt>
                <c:pt idx="103">
                  <c:v>1.7199395855471777</c:v>
                </c:pt>
                <c:pt idx="104">
                  <c:v>1.5737815166610005</c:v>
                </c:pt>
                <c:pt idx="105">
                  <c:v>1.4109334147551436</c:v>
                </c:pt>
                <c:pt idx="106">
                  <c:v>1.2247557691224149</c:v>
                </c:pt>
                <c:pt idx="107">
                  <c:v>1.0023318021303524</c:v>
                </c:pt>
                <c:pt idx="108">
                  <c:v>0.71039435777765925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8D-4842-A062-98FA833777A9}"/>
            </c:ext>
          </c:extLst>
        </c:ser>
        <c:ser>
          <c:idx val="1"/>
          <c:order val="1"/>
          <c:tx>
            <c:v>局所揚力分布</c:v>
          </c:tx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低速時揚力分布!$A$4:$A$181</c:f>
              <c:numCache>
                <c:formatCode>General</c:formatCode>
                <c:ptCount val="17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</c:numCache>
            </c:numRef>
          </c:xVal>
          <c:yVal>
            <c:numRef>
              <c:f>低速時揚力分布!$I$4:$I$181</c:f>
              <c:numCache>
                <c:formatCode>General</c:formatCode>
                <c:ptCount val="178"/>
                <c:pt idx="0">
                  <c:v>5.5969563141683967</c:v>
                </c:pt>
                <c:pt idx="1">
                  <c:v>5.5968957740823262</c:v>
                </c:pt>
                <c:pt idx="2">
                  <c:v>5.5966227616176347</c:v>
                </c:pt>
                <c:pt idx="3">
                  <c:v>5.5961631654384538</c:v>
                </c:pt>
                <c:pt idx="4">
                  <c:v>5.5955766287938147</c:v>
                </c:pt>
                <c:pt idx="5">
                  <c:v>5.594720864930899</c:v>
                </c:pt>
                <c:pt idx="6">
                  <c:v>5.5936827353489624</c:v>
                </c:pt>
                <c:pt idx="7">
                  <c:v>5.592497873742408</c:v>
                </c:pt>
                <c:pt idx="8">
                  <c:v>5.5909277073628978</c:v>
                </c:pt>
                <c:pt idx="9">
                  <c:v>5.5891554509323313</c:v>
                </c:pt>
                <c:pt idx="10">
                  <c:v>5.5871341489645205</c:v>
                </c:pt>
                <c:pt idx="11">
                  <c:v>5.5845808844487772</c:v>
                </c:pt>
                <c:pt idx="12">
                  <c:v>5.5816938889796237</c:v>
                </c:pt>
                <c:pt idx="13">
                  <c:v>5.578075869132185</c:v>
                </c:pt>
                <c:pt idx="14">
                  <c:v>5.5730180467786585</c:v>
                </c:pt>
                <c:pt idx="15">
                  <c:v>5.5699601290177156</c:v>
                </c:pt>
                <c:pt idx="16">
                  <c:v>5.5639122329353361</c:v>
                </c:pt>
                <c:pt idx="17">
                  <c:v>5.5485960559496981</c:v>
                </c:pt>
                <c:pt idx="18">
                  <c:v>5.5330668007502446</c:v>
                </c:pt>
                <c:pt idx="19">
                  <c:v>5.5164711846526977</c:v>
                </c:pt>
                <c:pt idx="20">
                  <c:v>5.4994228293780374</c:v>
                </c:pt>
                <c:pt idx="21">
                  <c:v>5.4820623038323424</c:v>
                </c:pt>
                <c:pt idx="22">
                  <c:v>5.4642342412291347</c:v>
                </c:pt>
                <c:pt idx="23">
                  <c:v>5.4461178589648451</c:v>
                </c:pt>
                <c:pt idx="24">
                  <c:v>5.4277728768312521</c:v>
                </c:pt>
                <c:pt idx="25">
                  <c:v>5.4090407557308353</c:v>
                </c:pt>
                <c:pt idx="26">
                  <c:v>5.3900654463404996</c:v>
                </c:pt>
                <c:pt idx="27">
                  <c:v>5.370878489658498</c:v>
                </c:pt>
                <c:pt idx="28">
                  <c:v>5.3513000217022251</c:v>
                </c:pt>
                <c:pt idx="29">
                  <c:v>5.3314620395347552</c:v>
                </c:pt>
                <c:pt idx="30">
                  <c:v>5.3113852947545244</c:v>
                </c:pt>
                <c:pt idx="31">
                  <c:v>5.2908404730140335</c:v>
                </c:pt>
                <c:pt idx="32">
                  <c:v>5.2699478205735346</c:v>
                </c:pt>
                <c:pt idx="33">
                  <c:v>5.2487288088024293</c:v>
                </c:pt>
                <c:pt idx="34">
                  <c:v>5.2268554120469934</c:v>
                </c:pt>
                <c:pt idx="35">
                  <c:v>5.2042918092998942</c:v>
                </c:pt>
                <c:pt idx="36">
                  <c:v>5.1807926864860381</c:v>
                </c:pt>
                <c:pt idx="37">
                  <c:v>5.1560671121008959</c:v>
                </c:pt>
                <c:pt idx="38">
                  <c:v>5.1298025262338944</c:v>
                </c:pt>
                <c:pt idx="39">
                  <c:v>5.101936726809269</c:v>
                </c:pt>
                <c:pt idx="40">
                  <c:v>5.0708447029264141</c:v>
                </c:pt>
                <c:pt idx="41">
                  <c:v>5.0323025632747296</c:v>
                </c:pt>
                <c:pt idx="42">
                  <c:v>5.0328596973737092</c:v>
                </c:pt>
                <c:pt idx="43">
                  <c:v>4.8201544713141118</c:v>
                </c:pt>
                <c:pt idx="44">
                  <c:v>4.7891133399336558</c:v>
                </c:pt>
                <c:pt idx="45">
                  <c:v>4.7394433716852662</c:v>
                </c:pt>
                <c:pt idx="46">
                  <c:v>4.6939109302418789</c:v>
                </c:pt>
                <c:pt idx="47">
                  <c:v>4.6502010240919374</c:v>
                </c:pt>
                <c:pt idx="48">
                  <c:v>4.6073940578241768</c:v>
                </c:pt>
                <c:pt idx="49">
                  <c:v>4.5652976215188978</c:v>
                </c:pt>
                <c:pt idx="50">
                  <c:v>4.5236408944426501</c:v>
                </c:pt>
                <c:pt idx="51">
                  <c:v>4.4824345612065484</c:v>
                </c:pt>
                <c:pt idx="52">
                  <c:v>4.441492261275755</c:v>
                </c:pt>
                <c:pt idx="53">
                  <c:v>4.4007628189958821</c:v>
                </c:pt>
                <c:pt idx="54">
                  <c:v>4.3602753879511615</c:v>
                </c:pt>
                <c:pt idx="55">
                  <c:v>4.319923000883704</c:v>
                </c:pt>
                <c:pt idx="56">
                  <c:v>4.279723593833082</c:v>
                </c:pt>
                <c:pt idx="57">
                  <c:v>4.2396801648526745</c:v>
                </c:pt>
                <c:pt idx="58">
                  <c:v>4.1997010651272637</c:v>
                </c:pt>
                <c:pt idx="59">
                  <c:v>4.1597383629142994</c:v>
                </c:pt>
                <c:pt idx="60">
                  <c:v>4.1198571051454875</c:v>
                </c:pt>
                <c:pt idx="61">
                  <c:v>4.0800556708488767</c:v>
                </c:pt>
                <c:pt idx="62">
                  <c:v>4.0403115071218059</c:v>
                </c:pt>
                <c:pt idx="63">
                  <c:v>4.0005874183662025</c:v>
                </c:pt>
                <c:pt idx="64">
                  <c:v>3.9609049350823775</c:v>
                </c:pt>
                <c:pt idx="65">
                  <c:v>3.9211927930389141</c:v>
                </c:pt>
                <c:pt idx="66">
                  <c:v>3.8813910477815408</c:v>
                </c:pt>
                <c:pt idx="67">
                  <c:v>3.841400785212322</c:v>
                </c:pt>
                <c:pt idx="68">
                  <c:v>3.8010860838092961</c:v>
                </c:pt>
                <c:pt idx="69">
                  <c:v>3.7622099760860395</c:v>
                </c:pt>
                <c:pt idx="70">
                  <c:v>3.7201462325453769</c:v>
                </c:pt>
                <c:pt idx="71">
                  <c:v>3.6785366278792893</c:v>
                </c:pt>
                <c:pt idx="72">
                  <c:v>3.6365158632926349</c:v>
                </c:pt>
                <c:pt idx="73">
                  <c:v>3.593894776572105</c:v>
                </c:pt>
                <c:pt idx="74">
                  <c:v>3.5497676513414511</c:v>
                </c:pt>
                <c:pt idx="75">
                  <c:v>3.5044223563767418</c:v>
                </c:pt>
                <c:pt idx="76">
                  <c:v>3.4581721903364468</c:v>
                </c:pt>
                <c:pt idx="77">
                  <c:v>3.4100831033728833</c:v>
                </c:pt>
                <c:pt idx="78">
                  <c:v>3.3612716538636729</c:v>
                </c:pt>
                <c:pt idx="79">
                  <c:v>3.3119969516995931</c:v>
                </c:pt>
                <c:pt idx="80">
                  <c:v>3.2616619377342122</c:v>
                </c:pt>
                <c:pt idx="81">
                  <c:v>3.2111891600960423</c:v>
                </c:pt>
                <c:pt idx="82">
                  <c:v>3.1606107499830465</c:v>
                </c:pt>
                <c:pt idx="83">
                  <c:v>3.1099032116565533</c:v>
                </c:pt>
                <c:pt idx="84">
                  <c:v>3.0591080907368675</c:v>
                </c:pt>
                <c:pt idx="85">
                  <c:v>3.0080479159085982</c:v>
                </c:pt>
                <c:pt idx="86">
                  <c:v>2.9566231029607675</c:v>
                </c:pt>
                <c:pt idx="87">
                  <c:v>2.9050704955959281</c:v>
                </c:pt>
                <c:pt idx="88">
                  <c:v>2.8530309771289257</c:v>
                </c:pt>
                <c:pt idx="89">
                  <c:v>2.8001885619496467</c:v>
                </c:pt>
                <c:pt idx="90">
                  <c:v>2.7465114044942744</c:v>
                </c:pt>
                <c:pt idx="91">
                  <c:v>2.6915833379753931</c:v>
                </c:pt>
                <c:pt idx="92">
                  <c:v>2.6348105576586849</c:v>
                </c:pt>
                <c:pt idx="93">
                  <c:v>2.5753108503532243</c:v>
                </c:pt>
                <c:pt idx="94">
                  <c:v>2.5180264440149394</c:v>
                </c:pt>
                <c:pt idx="95">
                  <c:v>2.4514970225051234</c:v>
                </c:pt>
                <c:pt idx="96">
                  <c:v>2.3774758954899862</c:v>
                </c:pt>
                <c:pt idx="97">
                  <c:v>2.2994409526234501</c:v>
                </c:pt>
                <c:pt idx="98">
                  <c:v>2.2194216106165161</c:v>
                </c:pt>
                <c:pt idx="99">
                  <c:v>2.1373100818980566</c:v>
                </c:pt>
                <c:pt idx="100">
                  <c:v>2.0529625366191513</c:v>
                </c:pt>
                <c:pt idx="101">
                  <c:v>1.9655404886832277</c:v>
                </c:pt>
                <c:pt idx="102">
                  <c:v>1.8743704566322543</c:v>
                </c:pt>
                <c:pt idx="103">
                  <c:v>1.7776066746746613</c:v>
                </c:pt>
                <c:pt idx="104">
                  <c:v>1.6718505565963029</c:v>
                </c:pt>
                <c:pt idx="105">
                  <c:v>1.5527316558383788</c:v>
                </c:pt>
                <c:pt idx="106">
                  <c:v>1.4116162012125768</c:v>
                </c:pt>
                <c:pt idx="107">
                  <c:v>1.23595402618025</c:v>
                </c:pt>
                <c:pt idx="108">
                  <c:v>1.1819051362919628</c:v>
                </c:pt>
                <c:pt idx="109">
                  <c:v>1.1294691729821522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8D-4842-A062-98FA83377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440752"/>
        <c:axId val="1213449872"/>
      </c:scatterChart>
      <c:valAx>
        <c:axId val="12134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449872"/>
        <c:crosses val="autoZero"/>
        <c:crossBetween val="midCat"/>
      </c:valAx>
      <c:valAx>
        <c:axId val="12134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3440752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281628</xdr:colOff>
      <xdr:row>1</xdr:row>
      <xdr:rowOff>210956</xdr:rowOff>
    </xdr:from>
    <xdr:to>
      <xdr:col>42</xdr:col>
      <xdr:colOff>0</xdr:colOff>
      <xdr:row>8</xdr:row>
      <xdr:rowOff>138206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281628</xdr:colOff>
      <xdr:row>1</xdr:row>
      <xdr:rowOff>210956</xdr:rowOff>
    </xdr:from>
    <xdr:to>
      <xdr:col>43</xdr:col>
      <xdr:colOff>0</xdr:colOff>
      <xdr:row>8</xdr:row>
      <xdr:rowOff>138206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276689</xdr:colOff>
      <xdr:row>1</xdr:row>
      <xdr:rowOff>40820</xdr:rowOff>
    </xdr:from>
    <xdr:to>
      <xdr:col>24</xdr:col>
      <xdr:colOff>489857</xdr:colOff>
      <xdr:row>15</xdr:row>
      <xdr:rowOff>204106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276689</xdr:colOff>
      <xdr:row>1</xdr:row>
      <xdr:rowOff>40820</xdr:rowOff>
    </xdr:from>
    <xdr:to>
      <xdr:col>24</xdr:col>
      <xdr:colOff>489857</xdr:colOff>
      <xdr:row>15</xdr:row>
      <xdr:rowOff>204106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outube.com/playlist?list=PLtl5ylS6jdP6uOxzSJKPnUsvMbkmalfKg&amp;si=yGcgfqDeptw4trV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youtube.com/playlist?list=PLtl5ylS6jdP6uOxzSJKPnUsvMbkmalfKg&amp;si=yGcgfqDeptw4trV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DEF6-D86F-496D-B6BB-AC4C9BE00644}">
  <sheetPr>
    <tabColor rgb="FF00B050"/>
  </sheetPr>
  <dimension ref="B2:L5"/>
  <sheetViews>
    <sheetView workbookViewId="0">
      <selection activeCell="J6" sqref="J6"/>
    </sheetView>
  </sheetViews>
  <sheetFormatPr defaultRowHeight="18" x14ac:dyDescent="1.1000000000000001"/>
  <cols>
    <col min="2" max="2" width="11.0390625" customWidth="1"/>
    <col min="4" max="4" width="12" customWidth="1"/>
    <col min="5" max="5" width="12.125" customWidth="1"/>
    <col min="6" max="6" width="8.7890625" customWidth="1"/>
    <col min="7" max="7" width="21.0390625" customWidth="1"/>
  </cols>
  <sheetData>
    <row r="2" spans="2:12" ht="18" customHeight="1" x14ac:dyDescent="1.1000000000000001">
      <c r="B2" s="2" t="s">
        <v>83</v>
      </c>
      <c r="C2" s="21">
        <v>1</v>
      </c>
      <c r="E2" s="40" t="s">
        <v>85</v>
      </c>
      <c r="F2" s="2" t="s">
        <v>88</v>
      </c>
      <c r="G2" s="4">
        <v>-5</v>
      </c>
      <c r="H2" s="1" t="s">
        <v>82</v>
      </c>
      <c r="I2" s="4">
        <v>10</v>
      </c>
      <c r="J2" s="39" t="s">
        <v>86</v>
      </c>
      <c r="K2" s="38"/>
      <c r="L2" s="4"/>
    </row>
    <row r="3" spans="2:12" x14ac:dyDescent="1.1000000000000001">
      <c r="B3" s="31" t="s">
        <v>84</v>
      </c>
      <c r="C3" s="31"/>
      <c r="E3" s="28"/>
      <c r="F3" s="2" t="s">
        <v>87</v>
      </c>
      <c r="G3" s="4">
        <v>8</v>
      </c>
      <c r="H3" s="1" t="s">
        <v>82</v>
      </c>
      <c r="I3" s="4">
        <v>14</v>
      </c>
      <c r="J3" s="39"/>
      <c r="K3" s="38"/>
      <c r="L3" s="4"/>
    </row>
    <row r="5" spans="2:12" x14ac:dyDescent="1.1000000000000001">
      <c r="B5" t="s">
        <v>81</v>
      </c>
      <c r="C5" t="s">
        <v>80</v>
      </c>
      <c r="D5" t="s">
        <v>89</v>
      </c>
      <c r="E5" t="s">
        <v>90</v>
      </c>
      <c r="F5" t="s">
        <v>91</v>
      </c>
      <c r="G5" t="s">
        <v>92</v>
      </c>
      <c r="H5" t="s">
        <v>93</v>
      </c>
    </row>
  </sheetData>
  <mergeCells count="3">
    <mergeCell ref="B3:C3"/>
    <mergeCell ref="J2:K3"/>
    <mergeCell ref="E2:E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V43"/>
  <sheetViews>
    <sheetView tabSelected="1" topLeftCell="A6" zoomScale="70" zoomScaleNormal="70" workbookViewId="0">
      <selection activeCell="O20" sqref="O20"/>
    </sheetView>
  </sheetViews>
  <sheetFormatPr defaultRowHeight="18" x14ac:dyDescent="1.1000000000000001"/>
  <cols>
    <col min="1" max="2" width="11.9140625" style="8" customWidth="1"/>
    <col min="3" max="3" width="9.75" style="8" customWidth="1"/>
    <col min="5" max="5" width="16.08203125" style="8" customWidth="1"/>
    <col min="8" max="8" width="15.58203125" style="8" customWidth="1"/>
    <col min="9" max="9" width="13.1640625" style="8" customWidth="1"/>
    <col min="10" max="10" width="12.33203125" style="8" customWidth="1"/>
    <col min="11" max="11" width="13.25" style="8" customWidth="1"/>
    <col min="13" max="13" width="15.5" style="8" customWidth="1"/>
    <col min="14" max="14" width="11.25" style="8" bestFit="1" customWidth="1"/>
    <col min="17" max="17" width="11.5" style="8" customWidth="1"/>
    <col min="18" max="18" width="12" style="8" customWidth="1"/>
    <col min="19" max="19" width="12.9140625" style="8" customWidth="1"/>
  </cols>
  <sheetData>
    <row r="2" spans="1:22" x14ac:dyDescent="1.1000000000000001">
      <c r="E2" s="2" t="s">
        <v>0</v>
      </c>
      <c r="F2" s="2"/>
      <c r="G2" s="2"/>
      <c r="I2"/>
      <c r="L2" t="s">
        <v>1</v>
      </c>
    </row>
    <row r="3" spans="1:22" x14ac:dyDescent="1.1000000000000001">
      <c r="E3" s="2" t="s">
        <v>2</v>
      </c>
      <c r="F3" s="12">
        <v>9.7974665000000005</v>
      </c>
      <c r="G3" s="2" t="s">
        <v>3</v>
      </c>
      <c r="P3" s="2" t="s">
        <v>4</v>
      </c>
    </row>
    <row r="4" spans="1:22" x14ac:dyDescent="1.1000000000000001">
      <c r="E4" s="2" t="s">
        <v>5</v>
      </c>
      <c r="F4" s="12">
        <v>1.1845840000000001</v>
      </c>
      <c r="G4" s="2" t="s">
        <v>6</v>
      </c>
      <c r="H4" s="2" t="s">
        <v>7</v>
      </c>
      <c r="I4" s="13">
        <v>1</v>
      </c>
      <c r="J4" s="31" t="s">
        <v>8</v>
      </c>
      <c r="L4" t="s">
        <v>9</v>
      </c>
      <c r="P4" s="12">
        <f>定常時揚力分布!M11</f>
        <v>346.31580300119384</v>
      </c>
    </row>
    <row r="5" spans="1:22" x14ac:dyDescent="1.1000000000000001">
      <c r="E5" s="2" t="s">
        <v>10</v>
      </c>
      <c r="F5" s="4">
        <v>11.75</v>
      </c>
      <c r="G5" s="2" t="s">
        <v>11</v>
      </c>
      <c r="H5" s="2" t="s">
        <v>12</v>
      </c>
      <c r="I5" s="13">
        <v>1</v>
      </c>
      <c r="J5" s="36"/>
    </row>
    <row r="6" spans="1:22" x14ac:dyDescent="1.1000000000000001">
      <c r="E6" s="2" t="s">
        <v>13</v>
      </c>
      <c r="F6" s="4">
        <v>35</v>
      </c>
      <c r="G6" s="2" t="s">
        <v>14</v>
      </c>
      <c r="H6" s="2" t="s">
        <v>15</v>
      </c>
      <c r="I6" s="13">
        <v>4</v>
      </c>
      <c r="J6" s="37"/>
    </row>
    <row r="7" spans="1:22" x14ac:dyDescent="1.1000000000000001">
      <c r="E7" s="2" t="s">
        <v>16</v>
      </c>
      <c r="F7" s="4">
        <v>55</v>
      </c>
      <c r="G7" s="2" t="s">
        <v>14</v>
      </c>
      <c r="H7" s="2" t="s">
        <v>17</v>
      </c>
      <c r="I7" s="13">
        <v>0.85</v>
      </c>
      <c r="M7" s="7" t="s">
        <v>18</v>
      </c>
      <c r="N7" s="12">
        <v>0.9950866449667628</v>
      </c>
    </row>
    <row r="8" spans="1:22" x14ac:dyDescent="1.1000000000000001">
      <c r="E8" s="2" t="s">
        <v>19</v>
      </c>
      <c r="F8" s="3">
        <f>F6+F7</f>
        <v>90</v>
      </c>
      <c r="G8" s="2" t="s">
        <v>14</v>
      </c>
      <c r="H8" s="2" t="s">
        <v>20</v>
      </c>
      <c r="I8" s="13">
        <v>0.87</v>
      </c>
      <c r="M8" s="7" t="s">
        <v>21</v>
      </c>
      <c r="N8" s="3">
        <f>$L$13^2*4/1000000/$Q$13/2</f>
        <v>34.038103423578285</v>
      </c>
    </row>
    <row r="9" spans="1:22" x14ac:dyDescent="1.1000000000000001">
      <c r="E9" s="2" t="s">
        <v>22</v>
      </c>
      <c r="F9" s="3">
        <f>F8*F3</f>
        <v>881.77198500000009</v>
      </c>
      <c r="G9" s="2" t="s">
        <v>23</v>
      </c>
      <c r="N9"/>
    </row>
    <row r="10" spans="1:22" x14ac:dyDescent="1.1000000000000001">
      <c r="E10" s="7" t="s">
        <v>24</v>
      </c>
      <c r="F10" s="13">
        <v>1.558601888367467E-5</v>
      </c>
      <c r="G10" s="7" t="s">
        <v>25</v>
      </c>
      <c r="I10" s="38" t="s">
        <v>26</v>
      </c>
      <c r="J10" s="27"/>
      <c r="K10" s="27"/>
    </row>
    <row r="11" spans="1:22" x14ac:dyDescent="1.1000000000000001">
      <c r="I11" s="27"/>
      <c r="J11" s="27"/>
      <c r="K11" s="27"/>
    </row>
    <row r="12" spans="1:22" x14ac:dyDescent="1.1000000000000001">
      <c r="C12" s="31" t="s">
        <v>27</v>
      </c>
      <c r="D12" s="23"/>
      <c r="E12" s="24"/>
      <c r="F12" s="31" t="s">
        <v>28</v>
      </c>
      <c r="G12" s="23"/>
      <c r="H12" s="24"/>
      <c r="I12" s="28" t="s">
        <v>29</v>
      </c>
      <c r="J12" s="29"/>
      <c r="K12" s="30"/>
      <c r="L12" s="2" t="s">
        <v>30</v>
      </c>
      <c r="M12" s="5" t="s">
        <v>31</v>
      </c>
      <c r="N12" s="31" t="s">
        <v>32</v>
      </c>
      <c r="O12" s="23"/>
      <c r="P12" s="24"/>
      <c r="Q12" s="2" t="s">
        <v>33</v>
      </c>
      <c r="R12" s="2" t="s">
        <v>34</v>
      </c>
      <c r="S12" s="2" t="s">
        <v>35</v>
      </c>
    </row>
    <row r="13" spans="1:22" x14ac:dyDescent="1.1000000000000001">
      <c r="A13" t="s">
        <v>36</v>
      </c>
      <c r="C13" s="22"/>
      <c r="D13" s="23"/>
      <c r="E13" s="24"/>
      <c r="F13" s="22"/>
      <c r="G13" s="23"/>
      <c r="H13" s="24"/>
      <c r="I13" s="22"/>
      <c r="J13" s="23"/>
      <c r="K13" s="24"/>
      <c r="L13" s="3">
        <f>SUM(L14:L18)</f>
        <v>10900</v>
      </c>
      <c r="M13" s="6"/>
      <c r="N13" s="22"/>
      <c r="O13" s="23"/>
      <c r="P13" s="24"/>
      <c r="Q13" s="3">
        <f>SUM(Q14:Q19)</f>
        <v>6.9809999999999999</v>
      </c>
      <c r="R13" s="2" t="s">
        <v>37</v>
      </c>
      <c r="S13" s="2"/>
      <c r="T13" s="4">
        <f>$F$5*$F$14/(1000*$F$10)</f>
        <v>527716.54271605855</v>
      </c>
      <c r="U13" s="1" t="s">
        <v>38</v>
      </c>
      <c r="V13" s="4">
        <f>$F$5*$H$14/(1000*$F$10)</f>
        <v>527716.54271605855</v>
      </c>
    </row>
    <row r="14" spans="1:22" x14ac:dyDescent="1.1000000000000001">
      <c r="B14">
        <v>1</v>
      </c>
      <c r="C14" s="4" t="s">
        <v>39</v>
      </c>
      <c r="D14" s="1" t="s">
        <v>38</v>
      </c>
      <c r="E14" s="4" t="s">
        <v>39</v>
      </c>
      <c r="F14" s="4">
        <v>700</v>
      </c>
      <c r="G14" s="1" t="s">
        <v>38</v>
      </c>
      <c r="H14" s="4">
        <v>700</v>
      </c>
      <c r="I14" s="10">
        <v>520979.7357877685</v>
      </c>
      <c r="J14" s="1" t="s">
        <v>38</v>
      </c>
      <c r="K14" s="4">
        <v>520979.7357877685</v>
      </c>
      <c r="L14" s="4">
        <v>1500</v>
      </c>
      <c r="M14" s="4">
        <f>L14</f>
        <v>1500</v>
      </c>
      <c r="N14" s="4">
        <v>3.5</v>
      </c>
      <c r="O14" s="1" t="s">
        <v>38</v>
      </c>
      <c r="P14" s="4">
        <v>3.5</v>
      </c>
      <c r="Q14" s="2">
        <f t="shared" ref="Q14:Q19" si="0">(F14+H14)/2*L14/1000000</f>
        <v>1.05</v>
      </c>
      <c r="R14" s="2" t="s">
        <v>40</v>
      </c>
      <c r="S14" s="2">
        <f t="shared" ref="S14:S19" si="1">(F14+H14)/2</f>
        <v>700</v>
      </c>
      <c r="T14" s="4">
        <f>$F$5*$F$15/(1000*$F$10)</f>
        <v>527716.54271605855</v>
      </c>
      <c r="U14" s="1" t="s">
        <v>38</v>
      </c>
      <c r="V14" s="4">
        <f>$F$5*$H$15/(1000*$F$10)</f>
        <v>527716.54271605855</v>
      </c>
    </row>
    <row r="15" spans="1:22" x14ac:dyDescent="1.1000000000000001">
      <c r="B15">
        <v>2</v>
      </c>
      <c r="C15" s="4" t="s">
        <v>39</v>
      </c>
      <c r="D15" s="1" t="s">
        <v>38</v>
      </c>
      <c r="E15" s="4" t="s">
        <v>39</v>
      </c>
      <c r="F15" s="4">
        <v>700</v>
      </c>
      <c r="G15" s="1" t="s">
        <v>38</v>
      </c>
      <c r="H15" s="4">
        <v>700</v>
      </c>
      <c r="I15" s="10">
        <v>520979.7357877685</v>
      </c>
      <c r="J15" s="1" t="s">
        <v>38</v>
      </c>
      <c r="K15" s="4">
        <v>520979.7357877685</v>
      </c>
      <c r="L15" s="4">
        <v>2700</v>
      </c>
      <c r="M15" s="4">
        <f>M14+L15</f>
        <v>4200</v>
      </c>
      <c r="N15" s="4">
        <v>3.5</v>
      </c>
      <c r="O15" s="1" t="s">
        <v>38</v>
      </c>
      <c r="P15" s="4">
        <v>3.5</v>
      </c>
      <c r="Q15" s="2">
        <f t="shared" si="0"/>
        <v>1.89</v>
      </c>
      <c r="R15" s="2" t="s">
        <v>40</v>
      </c>
      <c r="S15" s="2">
        <f t="shared" si="1"/>
        <v>700</v>
      </c>
      <c r="T15" s="4">
        <f>$F$5*$F$16/(1000*$F$10)</f>
        <v>527716.54271605855</v>
      </c>
      <c r="U15" s="1" t="s">
        <v>38</v>
      </c>
      <c r="V15" s="4">
        <f>$F$5*$H$16/(1000*$F$10)</f>
        <v>497561.31170371239</v>
      </c>
    </row>
    <row r="16" spans="1:22" x14ac:dyDescent="1.1000000000000001">
      <c r="B16">
        <v>3</v>
      </c>
      <c r="C16" s="4" t="s">
        <v>39</v>
      </c>
      <c r="D16" s="1" t="s">
        <v>38</v>
      </c>
      <c r="E16" s="4" t="s">
        <v>41</v>
      </c>
      <c r="F16" s="4">
        <v>700</v>
      </c>
      <c r="G16" s="1" t="s">
        <v>38</v>
      </c>
      <c r="H16" s="4">
        <v>660</v>
      </c>
      <c r="I16" s="10">
        <v>520979.7357877685</v>
      </c>
      <c r="J16" s="1" t="s">
        <v>38</v>
      </c>
      <c r="K16" s="4">
        <v>491209.46517132461</v>
      </c>
      <c r="L16" s="4">
        <v>2700</v>
      </c>
      <c r="M16" s="4">
        <f>M15+L16</f>
        <v>6900</v>
      </c>
      <c r="N16" s="4">
        <v>3.5</v>
      </c>
      <c r="O16" s="1" t="s">
        <v>38</v>
      </c>
      <c r="P16" s="4">
        <v>3</v>
      </c>
      <c r="Q16" s="2">
        <f t="shared" si="0"/>
        <v>1.8360000000000001</v>
      </c>
      <c r="R16" s="2" t="s">
        <v>40</v>
      </c>
      <c r="S16" s="2">
        <f t="shared" si="1"/>
        <v>680</v>
      </c>
      <c r="T16" s="4">
        <f>$F$5*$F$17/(1000*$F$10)</f>
        <v>497561.31170371239</v>
      </c>
      <c r="U16" s="1" t="s">
        <v>38</v>
      </c>
      <c r="V16" s="4">
        <f>$F$5*$H$17/(1000*$F$10)</f>
        <v>407095.61866667378</v>
      </c>
    </row>
    <row r="17" spans="2:22" x14ac:dyDescent="1.1000000000000001">
      <c r="B17">
        <v>4</v>
      </c>
      <c r="C17" s="4" t="s">
        <v>41</v>
      </c>
      <c r="D17" s="1" t="s">
        <v>38</v>
      </c>
      <c r="E17" s="16" t="s">
        <v>42</v>
      </c>
      <c r="F17" s="4">
        <v>660</v>
      </c>
      <c r="G17" s="1" t="s">
        <v>38</v>
      </c>
      <c r="H17" s="4">
        <v>540</v>
      </c>
      <c r="I17" s="10">
        <v>491209.46517132461</v>
      </c>
      <c r="J17" s="1" t="s">
        <v>38</v>
      </c>
      <c r="K17" s="4">
        <v>401898.65332199278</v>
      </c>
      <c r="L17" s="4">
        <v>2500</v>
      </c>
      <c r="M17" s="4">
        <f>M16+L17</f>
        <v>9400</v>
      </c>
      <c r="N17" s="4">
        <v>3</v>
      </c>
      <c r="O17" s="1" t="s">
        <v>38</v>
      </c>
      <c r="P17" s="4">
        <v>1.7</v>
      </c>
      <c r="Q17" s="2">
        <f t="shared" si="0"/>
        <v>1.5</v>
      </c>
      <c r="R17" s="2" t="s">
        <v>40</v>
      </c>
      <c r="S17" s="2">
        <f t="shared" si="1"/>
        <v>600</v>
      </c>
      <c r="T17" s="4">
        <f>$F$5*$F$18/(1000*$F$10)</f>
        <v>407095.61866667378</v>
      </c>
      <c r="U17" s="1" t="s">
        <v>38</v>
      </c>
      <c r="V17" s="4">
        <f>$F$5*$H$18/(1000*$F$10)</f>
        <v>301552.31012346206</v>
      </c>
    </row>
    <row r="18" spans="2:22" x14ac:dyDescent="1.1000000000000001">
      <c r="B18">
        <v>5</v>
      </c>
      <c r="C18" s="16" t="s">
        <v>42</v>
      </c>
      <c r="D18" s="1" t="s">
        <v>38</v>
      </c>
      <c r="E18" s="4" t="s">
        <v>43</v>
      </c>
      <c r="F18" s="4">
        <v>540</v>
      </c>
      <c r="G18" s="1" t="s">
        <v>38</v>
      </c>
      <c r="H18" s="4">
        <v>400</v>
      </c>
      <c r="I18" s="10">
        <v>401898.65332199278</v>
      </c>
      <c r="J18" s="1" t="s">
        <v>38</v>
      </c>
      <c r="K18" s="4">
        <v>297702.70616443921</v>
      </c>
      <c r="L18" s="4">
        <v>1500</v>
      </c>
      <c r="M18" s="4">
        <f>M17+L18</f>
        <v>10900</v>
      </c>
      <c r="N18" s="4">
        <v>1.7</v>
      </c>
      <c r="O18" s="1" t="s">
        <v>38</v>
      </c>
      <c r="P18" s="4">
        <v>1</v>
      </c>
      <c r="Q18" s="2">
        <f t="shared" si="0"/>
        <v>0.70499999999999996</v>
      </c>
      <c r="R18" s="2" t="s">
        <v>44</v>
      </c>
      <c r="S18" s="2">
        <f t="shared" si="1"/>
        <v>470</v>
      </c>
      <c r="T18" s="4">
        <f>$F$5*$F$19/(1000*$F$10)</f>
        <v>0</v>
      </c>
      <c r="U18" s="1" t="s">
        <v>38</v>
      </c>
      <c r="V18" s="4">
        <f>$F$5*$H$19/(1000*$F$10)</f>
        <v>0</v>
      </c>
    </row>
    <row r="19" spans="2:22" x14ac:dyDescent="1.1000000000000001">
      <c r="B19">
        <v>6</v>
      </c>
      <c r="C19" s="4"/>
      <c r="D19" s="1" t="s">
        <v>38</v>
      </c>
      <c r="E19" s="4"/>
      <c r="F19" s="4"/>
      <c r="G19" s="1" t="s">
        <v>38</v>
      </c>
      <c r="H19" s="4"/>
      <c r="I19" s="10">
        <v>0</v>
      </c>
      <c r="J19" s="1" t="s">
        <v>38</v>
      </c>
      <c r="K19" s="4">
        <v>0</v>
      </c>
      <c r="L19" s="4"/>
      <c r="M19" s="4">
        <f>M18+L19</f>
        <v>10900</v>
      </c>
      <c r="N19" s="4"/>
      <c r="O19" s="1" t="s">
        <v>38</v>
      </c>
      <c r="P19" s="4"/>
      <c r="Q19" s="2">
        <f t="shared" si="0"/>
        <v>0</v>
      </c>
      <c r="R19" s="2"/>
      <c r="S19" s="2">
        <f t="shared" si="1"/>
        <v>0</v>
      </c>
    </row>
    <row r="21" spans="2:22" ht="18.5" customHeight="1" thickBot="1" x14ac:dyDescent="1.25"/>
    <row r="22" spans="2:22" ht="18.75" customHeight="1" thickBot="1" x14ac:dyDescent="1.25">
      <c r="C22" s="32" t="s">
        <v>45</v>
      </c>
      <c r="D22" s="33"/>
      <c r="H22"/>
    </row>
    <row r="23" spans="2:22" ht="18.5" customHeight="1" thickBot="1" x14ac:dyDescent="1.25">
      <c r="C23" s="34"/>
      <c r="D23" s="35"/>
    </row>
    <row r="24" spans="2:22" x14ac:dyDescent="1.1000000000000001">
      <c r="C24" s="25" t="s">
        <v>46</v>
      </c>
      <c r="D24" s="26"/>
      <c r="E24" s="27"/>
      <c r="F24" s="26"/>
      <c r="G24" s="26"/>
      <c r="H24" s="27"/>
      <c r="I24" s="27"/>
      <c r="J24" s="27"/>
      <c r="K24" s="27"/>
      <c r="L24" s="26"/>
      <c r="M24" s="27"/>
    </row>
    <row r="25" spans="2:22" x14ac:dyDescent="1.1000000000000001">
      <c r="C25" s="27"/>
      <c r="D25" s="26"/>
      <c r="E25" s="27"/>
      <c r="F25" s="26"/>
      <c r="G25" s="26"/>
      <c r="H25" s="27"/>
      <c r="I25" s="27"/>
      <c r="J25" s="27"/>
      <c r="K25" s="27"/>
      <c r="L25" s="26"/>
      <c r="M25" s="27"/>
    </row>
    <row r="26" spans="2:22" x14ac:dyDescent="1.1000000000000001">
      <c r="C26" s="27"/>
      <c r="D26" s="26"/>
      <c r="E26" s="27"/>
      <c r="F26" s="26"/>
      <c r="G26" s="26"/>
      <c r="H26" s="27"/>
      <c r="I26" s="27"/>
      <c r="J26" s="27"/>
      <c r="K26" s="27"/>
      <c r="L26" s="26"/>
      <c r="M26" s="27"/>
    </row>
    <row r="27" spans="2:22" x14ac:dyDescent="1.1000000000000001">
      <c r="C27" s="27"/>
      <c r="D27" s="26"/>
      <c r="E27" s="27"/>
      <c r="F27" s="26"/>
      <c r="G27" s="26"/>
      <c r="H27" s="27"/>
      <c r="I27" s="27"/>
      <c r="J27" s="27"/>
      <c r="K27" s="27"/>
      <c r="L27" s="26"/>
      <c r="M27" s="27"/>
    </row>
    <row r="28" spans="2:22" x14ac:dyDescent="1.1000000000000001">
      <c r="C28" s="27"/>
      <c r="D28" s="26"/>
      <c r="E28" s="27"/>
      <c r="F28" s="26"/>
      <c r="G28" s="26"/>
      <c r="H28" s="27"/>
      <c r="I28" s="27"/>
      <c r="J28" s="27"/>
      <c r="K28" s="27"/>
      <c r="L28" s="26"/>
      <c r="M28" s="27"/>
    </row>
    <row r="29" spans="2:22" x14ac:dyDescent="1.1000000000000001">
      <c r="C29" s="27"/>
      <c r="D29" s="26"/>
      <c r="E29" s="27"/>
      <c r="F29" s="26"/>
      <c r="G29" s="26"/>
      <c r="H29" s="27"/>
      <c r="I29" s="27"/>
      <c r="J29" s="27"/>
      <c r="K29" s="27"/>
      <c r="L29" s="26"/>
      <c r="M29" s="27"/>
    </row>
    <row r="37" spans="5:11" x14ac:dyDescent="1.1000000000000001">
      <c r="E37">
        <v>0</v>
      </c>
      <c r="F37">
        <f>F38</f>
        <v>700</v>
      </c>
    </row>
    <row r="38" spans="5:11" x14ac:dyDescent="1.1000000000000001">
      <c r="E38">
        <f>L14</f>
        <v>1500</v>
      </c>
      <c r="F38">
        <f>H14</f>
        <v>700</v>
      </c>
    </row>
    <row r="39" spans="5:11" x14ac:dyDescent="1.1000000000000001">
      <c r="E39">
        <f>M15</f>
        <v>4200</v>
      </c>
      <c r="F39">
        <f>H15</f>
        <v>700</v>
      </c>
    </row>
    <row r="40" spans="5:11" x14ac:dyDescent="1.1000000000000001">
      <c r="E40">
        <f>M16</f>
        <v>6900</v>
      </c>
      <c r="F40">
        <f>H16</f>
        <v>660</v>
      </c>
    </row>
    <row r="41" spans="5:11" x14ac:dyDescent="1.1000000000000001">
      <c r="E41">
        <f>M17</f>
        <v>9400</v>
      </c>
      <c r="F41">
        <f>H17</f>
        <v>540</v>
      </c>
      <c r="K41" s="15" t="s">
        <v>47</v>
      </c>
    </row>
    <row r="42" spans="5:11" x14ac:dyDescent="1.1000000000000001">
      <c r="E42">
        <f>M18</f>
        <v>10900</v>
      </c>
      <c r="F42">
        <f>H18</f>
        <v>400</v>
      </c>
    </row>
    <row r="43" spans="5:11" x14ac:dyDescent="1.1000000000000001">
      <c r="E43">
        <f>M19</f>
        <v>10900</v>
      </c>
    </row>
  </sheetData>
  <mergeCells count="12">
    <mergeCell ref="J4:J6"/>
    <mergeCell ref="I10:K11"/>
    <mergeCell ref="I13:K13"/>
    <mergeCell ref="F13:H13"/>
    <mergeCell ref="C13:E13"/>
    <mergeCell ref="N13:P13"/>
    <mergeCell ref="C24:M29"/>
    <mergeCell ref="I12:K12"/>
    <mergeCell ref="F12:H12"/>
    <mergeCell ref="C22:D23"/>
    <mergeCell ref="N12:P12"/>
    <mergeCell ref="C12:E12"/>
  </mergeCells>
  <phoneticPr fontId="1"/>
  <hyperlinks>
    <hyperlink ref="K41" r:id="rId1" display="https://youtube.com/playlist?list=PLtl5ylS6jdP6uOxzSJKPnUsvMbkmalfKg&amp;si=yGcgfqDeptw4trVc" xr:uid="{00000000-0004-0000-00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X43"/>
  <sheetViews>
    <sheetView zoomScale="70" zoomScaleNormal="70" workbookViewId="0">
      <selection activeCell="H18" sqref="H18"/>
    </sheetView>
  </sheetViews>
  <sheetFormatPr defaultRowHeight="18" x14ac:dyDescent="1.1000000000000001"/>
  <cols>
    <col min="1" max="2" width="11.9140625" style="8" customWidth="1"/>
    <col min="3" max="3" width="9.75" style="8" customWidth="1"/>
    <col min="5" max="5" width="16.08203125" style="8" customWidth="1"/>
    <col min="8" max="8" width="15.58203125" style="8" customWidth="1"/>
    <col min="9" max="9" width="13.1640625" style="8" customWidth="1"/>
    <col min="10" max="10" width="12.33203125" style="8" customWidth="1"/>
    <col min="11" max="11" width="13.25" style="8" customWidth="1"/>
    <col min="13" max="13" width="15.5" style="8" customWidth="1"/>
    <col min="14" max="14" width="11.25" style="8" bestFit="1" customWidth="1"/>
    <col min="17" max="17" width="11.5" style="8" customWidth="1"/>
    <col min="18" max="18" width="12" style="8" customWidth="1"/>
    <col min="19" max="19" width="12.9140625" style="8" customWidth="1"/>
    <col min="24" max="24" width="10.25" style="8" customWidth="1"/>
  </cols>
  <sheetData>
    <row r="2" spans="1:24" x14ac:dyDescent="1.1000000000000001">
      <c r="E2" s="2" t="s">
        <v>0</v>
      </c>
      <c r="F2" s="2"/>
      <c r="G2" s="2"/>
      <c r="I2"/>
      <c r="L2" t="s">
        <v>1</v>
      </c>
    </row>
    <row r="3" spans="1:24" x14ac:dyDescent="1.1000000000000001">
      <c r="E3" s="2" t="s">
        <v>2</v>
      </c>
      <c r="F3" s="12">
        <v>9.7974665000000005</v>
      </c>
      <c r="G3" s="2" t="s">
        <v>3</v>
      </c>
      <c r="P3" s="2" t="s">
        <v>4</v>
      </c>
    </row>
    <row r="4" spans="1:24" x14ac:dyDescent="1.1000000000000001">
      <c r="E4" s="2" t="s">
        <v>5</v>
      </c>
      <c r="F4" s="12">
        <v>1.1845840000000001</v>
      </c>
      <c r="G4" s="2" t="s">
        <v>6</v>
      </c>
      <c r="H4" s="2" t="s">
        <v>7</v>
      </c>
      <c r="I4" s="13">
        <v>1</v>
      </c>
      <c r="J4" s="31" t="s">
        <v>8</v>
      </c>
      <c r="L4" t="s">
        <v>9</v>
      </c>
      <c r="P4" s="12">
        <f>低速時揚力分布!M11</f>
        <v>309.69025881318032</v>
      </c>
    </row>
    <row r="5" spans="1:24" x14ac:dyDescent="1.1000000000000001">
      <c r="E5" s="2" t="s">
        <v>10</v>
      </c>
      <c r="F5" s="4">
        <v>9</v>
      </c>
      <c r="G5" s="2" t="s">
        <v>11</v>
      </c>
      <c r="H5" s="2" t="s">
        <v>12</v>
      </c>
      <c r="I5" s="13">
        <v>1</v>
      </c>
      <c r="J5" s="36"/>
    </row>
    <row r="6" spans="1:24" x14ac:dyDescent="1.1000000000000001">
      <c r="E6" s="2" t="s">
        <v>13</v>
      </c>
      <c r="F6" s="4">
        <v>35</v>
      </c>
      <c r="G6" s="2" t="s">
        <v>14</v>
      </c>
      <c r="H6" s="2" t="s">
        <v>15</v>
      </c>
      <c r="I6" s="13">
        <v>4</v>
      </c>
      <c r="J6" s="37"/>
    </row>
    <row r="7" spans="1:24" x14ac:dyDescent="1.1000000000000001">
      <c r="E7" s="2" t="s">
        <v>16</v>
      </c>
      <c r="F7" s="4">
        <v>55</v>
      </c>
      <c r="G7" s="2" t="s">
        <v>14</v>
      </c>
      <c r="H7" s="2" t="s">
        <v>17</v>
      </c>
      <c r="I7" s="13">
        <v>0.9</v>
      </c>
      <c r="M7" s="7" t="s">
        <v>18</v>
      </c>
      <c r="N7" s="14">
        <v>0.97933278446485672</v>
      </c>
    </row>
    <row r="8" spans="1:24" x14ac:dyDescent="1.1000000000000001">
      <c r="E8" s="2" t="s">
        <v>19</v>
      </c>
      <c r="F8" s="3">
        <f>F6+F7</f>
        <v>90</v>
      </c>
      <c r="G8" s="2" t="s">
        <v>14</v>
      </c>
      <c r="H8" s="2" t="s">
        <v>20</v>
      </c>
      <c r="I8" s="13">
        <v>0.85</v>
      </c>
      <c r="M8" s="7" t="s">
        <v>21</v>
      </c>
      <c r="N8" s="3">
        <f>$L$13^2*4/1000000/$Q$13/2</f>
        <v>31.049261727427151</v>
      </c>
    </row>
    <row r="9" spans="1:24" x14ac:dyDescent="1.1000000000000001">
      <c r="E9" s="2" t="s">
        <v>22</v>
      </c>
      <c r="F9" s="3">
        <f>F8*F3</f>
        <v>881.77198500000009</v>
      </c>
      <c r="G9" s="2" t="s">
        <v>23</v>
      </c>
      <c r="N9"/>
    </row>
    <row r="10" spans="1:24" x14ac:dyDescent="1.1000000000000001">
      <c r="E10" s="7" t="s">
        <v>24</v>
      </c>
      <c r="F10" s="13">
        <v>1.558601888367467E-5</v>
      </c>
      <c r="G10" s="7" t="s">
        <v>25</v>
      </c>
      <c r="I10" s="38" t="s">
        <v>48</v>
      </c>
      <c r="J10" s="27"/>
      <c r="K10" s="27"/>
    </row>
    <row r="11" spans="1:24" x14ac:dyDescent="1.1000000000000001">
      <c r="I11" s="27"/>
      <c r="J11" s="27"/>
      <c r="K11" s="27"/>
    </row>
    <row r="12" spans="1:24" x14ac:dyDescent="1.1000000000000001">
      <c r="C12" s="31" t="s">
        <v>27</v>
      </c>
      <c r="D12" s="23"/>
      <c r="E12" s="24"/>
      <c r="F12" s="31" t="s">
        <v>28</v>
      </c>
      <c r="G12" s="23"/>
      <c r="H12" s="24"/>
      <c r="I12" s="28" t="s">
        <v>29</v>
      </c>
      <c r="J12" s="29"/>
      <c r="K12" s="30"/>
      <c r="L12" s="2" t="s">
        <v>30</v>
      </c>
      <c r="M12" s="5" t="s">
        <v>31</v>
      </c>
      <c r="N12" s="31" t="s">
        <v>32</v>
      </c>
      <c r="O12" s="23"/>
      <c r="P12" s="24"/>
      <c r="Q12" s="2" t="s">
        <v>33</v>
      </c>
      <c r="R12" s="2" t="s">
        <v>34</v>
      </c>
      <c r="S12" s="11" t="s">
        <v>35</v>
      </c>
      <c r="X12" s="2" t="s">
        <v>49</v>
      </c>
    </row>
    <row r="13" spans="1:24" x14ac:dyDescent="1.1000000000000001">
      <c r="A13" t="s">
        <v>36</v>
      </c>
      <c r="C13" s="22"/>
      <c r="D13" s="23"/>
      <c r="E13" s="24"/>
      <c r="F13" s="22"/>
      <c r="G13" s="23"/>
      <c r="H13" s="24"/>
      <c r="I13" s="22"/>
      <c r="J13" s="23"/>
      <c r="K13" s="24"/>
      <c r="L13" s="3">
        <f>SUM(L14:L18)</f>
        <v>10900</v>
      </c>
      <c r="M13" s="6"/>
      <c r="N13" s="22"/>
      <c r="O13" s="23"/>
      <c r="P13" s="24"/>
      <c r="Q13" s="3">
        <f>SUM(Q14:Q19)</f>
        <v>7.6530000000000005</v>
      </c>
      <c r="R13" s="2" t="s">
        <v>37</v>
      </c>
      <c r="S13" s="2"/>
      <c r="T13" s="4">
        <f>$F$5*$F$14/(1000*$F$10)</f>
        <v>496598.91071395669</v>
      </c>
      <c r="U13" s="1" t="s">
        <v>38</v>
      </c>
      <c r="V13" s="4">
        <f>$F$5*$H$14/(1000*$F$10)</f>
        <v>496598.91071395669</v>
      </c>
      <c r="X13" s="2"/>
    </row>
    <row r="14" spans="1:24" x14ac:dyDescent="1.1000000000000001">
      <c r="B14">
        <v>1</v>
      </c>
      <c r="C14" s="4" t="s">
        <v>50</v>
      </c>
      <c r="D14" s="1" t="s">
        <v>38</v>
      </c>
      <c r="E14" s="4" t="s">
        <v>50</v>
      </c>
      <c r="F14" s="4">
        <v>860</v>
      </c>
      <c r="G14" s="1" t="s">
        <v>38</v>
      </c>
      <c r="H14" s="4">
        <v>860</v>
      </c>
      <c r="I14" s="4">
        <v>496598.91071395669</v>
      </c>
      <c r="J14" s="1" t="s">
        <v>38</v>
      </c>
      <c r="K14" s="4">
        <v>496598.91071395669</v>
      </c>
      <c r="L14" s="4">
        <v>1500</v>
      </c>
      <c r="M14" s="4">
        <f>L14</f>
        <v>1500</v>
      </c>
      <c r="N14" s="4">
        <v>3.2</v>
      </c>
      <c r="O14" s="1" t="s">
        <v>38</v>
      </c>
      <c r="P14" s="4">
        <v>3.2</v>
      </c>
      <c r="Q14" s="2">
        <f t="shared" ref="Q14:Q19" si="0">(F14+H14)/2*L14/1000000</f>
        <v>1.29</v>
      </c>
      <c r="R14" s="2" t="s">
        <v>40</v>
      </c>
      <c r="S14" s="2">
        <f t="shared" ref="S14:S19" si="1">(F14+H14)/2</f>
        <v>860</v>
      </c>
      <c r="T14" s="4">
        <f>$F$5*$F$15/(1000*$F$10)</f>
        <v>496598.91071395669</v>
      </c>
      <c r="U14" s="1" t="s">
        <v>38</v>
      </c>
      <c r="V14" s="4">
        <f>$F$5*$H$15/(1000*$F$10)</f>
        <v>496598.91071395669</v>
      </c>
      <c r="X14" s="2" t="e">
        <f>#REF!/L14*100</f>
        <v>#REF!</v>
      </c>
    </row>
    <row r="15" spans="1:24" x14ac:dyDescent="1.1000000000000001">
      <c r="B15">
        <v>2</v>
      </c>
      <c r="C15" s="4" t="s">
        <v>50</v>
      </c>
      <c r="D15" s="1" t="s">
        <v>38</v>
      </c>
      <c r="E15" s="4" t="s">
        <v>50</v>
      </c>
      <c r="F15" s="4">
        <v>860</v>
      </c>
      <c r="G15" s="1" t="s">
        <v>38</v>
      </c>
      <c r="H15" s="4">
        <v>860</v>
      </c>
      <c r="I15" s="4">
        <v>496598.91071395669</v>
      </c>
      <c r="J15" s="1" t="s">
        <v>38</v>
      </c>
      <c r="K15" s="4">
        <v>496598.91071395669</v>
      </c>
      <c r="L15" s="4">
        <v>2700</v>
      </c>
      <c r="M15" s="4">
        <f>M14+L15</f>
        <v>4200</v>
      </c>
      <c r="N15" s="4">
        <v>3.2</v>
      </c>
      <c r="O15" s="1" t="s">
        <v>38</v>
      </c>
      <c r="P15" s="4">
        <v>3.2</v>
      </c>
      <c r="Q15" s="2">
        <f t="shared" si="0"/>
        <v>2.3220000000000001</v>
      </c>
      <c r="R15" s="2" t="s">
        <v>40</v>
      </c>
      <c r="S15" s="2">
        <f t="shared" si="1"/>
        <v>860</v>
      </c>
      <c r="T15" s="4">
        <f>$F$5*$F$16/(1000*$F$10)</f>
        <v>404208.41569740657</v>
      </c>
      <c r="U15" s="1" t="s">
        <v>38</v>
      </c>
      <c r="V15" s="4">
        <f>$F$5*$H$16/(1000*$F$10)</f>
        <v>381110.79194326908</v>
      </c>
      <c r="X15" s="2" t="e">
        <f>#REF!/L15*100</f>
        <v>#REF!</v>
      </c>
    </row>
    <row r="16" spans="1:24" x14ac:dyDescent="1.1000000000000001">
      <c r="B16">
        <v>3</v>
      </c>
      <c r="C16" s="4" t="s">
        <v>51</v>
      </c>
      <c r="D16" s="1" t="s">
        <v>38</v>
      </c>
      <c r="E16" s="4" t="s">
        <v>52</v>
      </c>
      <c r="F16" s="4">
        <v>700</v>
      </c>
      <c r="G16" s="1" t="s">
        <v>38</v>
      </c>
      <c r="H16" s="4">
        <v>660</v>
      </c>
      <c r="I16" s="4">
        <v>404208.41569740663</v>
      </c>
      <c r="J16" s="1" t="s">
        <v>38</v>
      </c>
      <c r="K16" s="4">
        <v>358013.16818913148</v>
      </c>
      <c r="L16" s="4">
        <v>2700</v>
      </c>
      <c r="M16" s="4">
        <f>M15+L16</f>
        <v>6900</v>
      </c>
      <c r="N16" s="4">
        <v>3.2</v>
      </c>
      <c r="O16" s="1" t="s">
        <v>38</v>
      </c>
      <c r="P16" s="4">
        <v>2.7</v>
      </c>
      <c r="Q16" s="2">
        <f t="shared" si="0"/>
        <v>1.8360000000000001</v>
      </c>
      <c r="R16" s="2" t="s">
        <v>40</v>
      </c>
      <c r="S16" s="2">
        <f t="shared" si="1"/>
        <v>680</v>
      </c>
      <c r="T16" s="4">
        <f>$F$5*$F$17/(1000*$F$10)</f>
        <v>381110.79194326908</v>
      </c>
      <c r="U16" s="1" t="s">
        <v>38</v>
      </c>
      <c r="V16" s="4">
        <f>$F$5*$H$17/(1000*$F$10)</f>
        <v>311817.92068085651</v>
      </c>
      <c r="X16" s="2" t="e">
        <f>#REF!/L16*100</f>
        <v>#REF!</v>
      </c>
    </row>
    <row r="17" spans="2:24" x14ac:dyDescent="1.1000000000000001">
      <c r="B17">
        <v>4</v>
      </c>
      <c r="C17" s="4" t="s">
        <v>52</v>
      </c>
      <c r="D17" s="1" t="s">
        <v>38</v>
      </c>
      <c r="E17" s="16" t="s">
        <v>53</v>
      </c>
      <c r="F17" s="4">
        <v>660</v>
      </c>
      <c r="G17" s="1" t="s">
        <v>38</v>
      </c>
      <c r="H17" s="4">
        <v>540</v>
      </c>
      <c r="I17" s="4">
        <v>358013.16818913148</v>
      </c>
      <c r="J17" s="1" t="s">
        <v>38</v>
      </c>
      <c r="K17" s="4">
        <v>311817.92068085651</v>
      </c>
      <c r="L17" s="4">
        <v>2500</v>
      </c>
      <c r="M17" s="4">
        <f>M16+L17</f>
        <v>9400</v>
      </c>
      <c r="N17" s="4">
        <v>2.7</v>
      </c>
      <c r="O17" s="1" t="s">
        <v>38</v>
      </c>
      <c r="P17" s="4">
        <v>1</v>
      </c>
      <c r="Q17" s="2">
        <f t="shared" si="0"/>
        <v>1.5</v>
      </c>
      <c r="R17" s="2" t="s">
        <v>40</v>
      </c>
      <c r="S17" s="2">
        <f t="shared" si="1"/>
        <v>600</v>
      </c>
      <c r="T17" s="4">
        <f>$F$5*$F$18/(1000*$F$10)</f>
        <v>311817.92068085651</v>
      </c>
      <c r="U17" s="1" t="s">
        <v>38</v>
      </c>
      <c r="V17" s="4">
        <f>$F$5*$H$18/(1000*$F$10)</f>
        <v>230976.23754137519</v>
      </c>
      <c r="X17" s="2" t="e">
        <f>#REF!/L17*100</f>
        <v>#REF!</v>
      </c>
    </row>
    <row r="18" spans="2:24" x14ac:dyDescent="1.1000000000000001">
      <c r="B18">
        <v>5</v>
      </c>
      <c r="C18" s="16" t="s">
        <v>53</v>
      </c>
      <c r="D18" s="1" t="s">
        <v>38</v>
      </c>
      <c r="E18" s="4" t="s">
        <v>54</v>
      </c>
      <c r="F18" s="4">
        <v>540</v>
      </c>
      <c r="G18" s="1" t="s">
        <v>38</v>
      </c>
      <c r="H18" s="4">
        <v>400</v>
      </c>
      <c r="I18" s="4">
        <v>311817.92068085651</v>
      </c>
      <c r="J18" s="1" t="s">
        <v>38</v>
      </c>
      <c r="K18" s="4">
        <v>230976.23754137519</v>
      </c>
      <c r="L18" s="4">
        <v>1500</v>
      </c>
      <c r="M18" s="4">
        <f>M17+L18</f>
        <v>10900</v>
      </c>
      <c r="N18" s="4">
        <v>1</v>
      </c>
      <c r="O18" s="1" t="s">
        <v>38</v>
      </c>
      <c r="P18" s="4">
        <v>0.5</v>
      </c>
      <c r="Q18" s="2">
        <f t="shared" si="0"/>
        <v>0.70499999999999996</v>
      </c>
      <c r="R18" s="2" t="s">
        <v>44</v>
      </c>
      <c r="S18" s="2">
        <f t="shared" si="1"/>
        <v>470</v>
      </c>
      <c r="T18" s="4">
        <f>$F$5*$F$19/(1000*$F$10)</f>
        <v>0</v>
      </c>
      <c r="U18" s="1" t="s">
        <v>38</v>
      </c>
      <c r="V18" s="4">
        <f>$F$5*$H$19/(1000*$F$10)</f>
        <v>0</v>
      </c>
      <c r="X18" s="2" t="e">
        <f>#REF!/L18*100</f>
        <v>#REF!</v>
      </c>
    </row>
    <row r="19" spans="2:24" x14ac:dyDescent="1.1000000000000001">
      <c r="B19">
        <v>6</v>
      </c>
      <c r="C19" s="4"/>
      <c r="D19" s="1" t="s">
        <v>38</v>
      </c>
      <c r="E19" s="4"/>
      <c r="F19" s="4"/>
      <c r="G19" s="1" t="s">
        <v>38</v>
      </c>
      <c r="H19" s="4"/>
      <c r="I19" s="4">
        <v>0</v>
      </c>
      <c r="J19" s="1" t="s">
        <v>38</v>
      </c>
      <c r="K19" s="4">
        <v>0</v>
      </c>
      <c r="L19" s="4"/>
      <c r="M19" s="4">
        <f>M18+L19</f>
        <v>10900</v>
      </c>
      <c r="N19" s="4"/>
      <c r="O19" s="1" t="s">
        <v>38</v>
      </c>
      <c r="P19" s="4"/>
      <c r="Q19" s="2">
        <f t="shared" si="0"/>
        <v>0</v>
      </c>
      <c r="R19" s="2"/>
      <c r="S19" s="2">
        <f t="shared" si="1"/>
        <v>0</v>
      </c>
      <c r="X19" s="2" t="e">
        <f>#REF!/L19*100</f>
        <v>#REF!</v>
      </c>
    </row>
    <row r="21" spans="2:24" ht="18.5" customHeight="1" thickBot="1" x14ac:dyDescent="1.25"/>
    <row r="22" spans="2:24" ht="18.75" customHeight="1" thickBot="1" x14ac:dyDescent="1.25">
      <c r="C22" s="32" t="s">
        <v>45</v>
      </c>
      <c r="D22" s="33"/>
      <c r="H22"/>
    </row>
    <row r="23" spans="2:24" ht="18.5" customHeight="1" thickBot="1" x14ac:dyDescent="1.25">
      <c r="C23" s="34"/>
      <c r="D23" s="35"/>
    </row>
    <row r="24" spans="2:24" x14ac:dyDescent="1.1000000000000001">
      <c r="C24" s="25" t="s">
        <v>46</v>
      </c>
      <c r="D24" s="26"/>
      <c r="E24" s="27"/>
      <c r="F24" s="26"/>
      <c r="G24" s="26"/>
      <c r="H24" s="27"/>
      <c r="I24" s="27"/>
      <c r="J24" s="27"/>
      <c r="K24" s="27"/>
      <c r="L24" s="26"/>
      <c r="M24" s="27"/>
      <c r="O24">
        <f t="shared" ref="O24:O29" si="2">(F14-H14)/L14*100</f>
        <v>0</v>
      </c>
    </row>
    <row r="25" spans="2:24" x14ac:dyDescent="1.1000000000000001">
      <c r="C25" s="27"/>
      <c r="D25" s="26"/>
      <c r="E25" s="27"/>
      <c r="F25" s="26"/>
      <c r="G25" s="26"/>
      <c r="H25" s="27"/>
      <c r="I25" s="27"/>
      <c r="J25" s="27"/>
      <c r="K25" s="27"/>
      <c r="L25" s="26"/>
      <c r="M25" s="27"/>
      <c r="O25">
        <f t="shared" si="2"/>
        <v>0</v>
      </c>
    </row>
    <row r="26" spans="2:24" x14ac:dyDescent="1.1000000000000001">
      <c r="C26" s="27"/>
      <c r="D26" s="26"/>
      <c r="E26" s="27"/>
      <c r="F26" s="26"/>
      <c r="G26" s="26"/>
      <c r="H26" s="27"/>
      <c r="I26" s="27"/>
      <c r="J26" s="27"/>
      <c r="K26" s="27"/>
      <c r="L26" s="26"/>
      <c r="M26" s="27"/>
      <c r="O26">
        <f t="shared" si="2"/>
        <v>1.4814814814814816</v>
      </c>
    </row>
    <row r="27" spans="2:24" x14ac:dyDescent="1.1000000000000001">
      <c r="C27" s="27"/>
      <c r="D27" s="26"/>
      <c r="E27" s="27"/>
      <c r="F27" s="26"/>
      <c r="G27" s="26"/>
      <c r="H27" s="27"/>
      <c r="I27" s="27"/>
      <c r="J27" s="27"/>
      <c r="K27" s="27"/>
      <c r="L27" s="26"/>
      <c r="M27" s="27"/>
      <c r="O27">
        <f t="shared" si="2"/>
        <v>4.8</v>
      </c>
    </row>
    <row r="28" spans="2:24" x14ac:dyDescent="1.1000000000000001">
      <c r="C28" s="27"/>
      <c r="D28" s="26"/>
      <c r="E28" s="27"/>
      <c r="F28" s="26"/>
      <c r="G28" s="26"/>
      <c r="H28" s="27"/>
      <c r="I28" s="27"/>
      <c r="J28" s="27"/>
      <c r="K28" s="27"/>
      <c r="L28" s="26"/>
      <c r="M28" s="27"/>
      <c r="O28">
        <f t="shared" si="2"/>
        <v>9.3333333333333339</v>
      </c>
    </row>
    <row r="29" spans="2:24" x14ac:dyDescent="1.1000000000000001">
      <c r="C29" s="27"/>
      <c r="D29" s="26"/>
      <c r="E29" s="27"/>
      <c r="F29" s="26"/>
      <c r="G29" s="26"/>
      <c r="H29" s="27"/>
      <c r="I29" s="27"/>
      <c r="J29" s="27"/>
      <c r="K29" s="27"/>
      <c r="L29" s="26"/>
      <c r="M29" s="27"/>
      <c r="O29" t="e">
        <f t="shared" si="2"/>
        <v>#DIV/0!</v>
      </c>
    </row>
    <row r="37" spans="5:11" x14ac:dyDescent="1.1000000000000001">
      <c r="E37">
        <v>0</v>
      </c>
      <c r="F37">
        <f>F38</f>
        <v>860</v>
      </c>
    </row>
    <row r="38" spans="5:11" x14ac:dyDescent="1.1000000000000001">
      <c r="E38">
        <f>L14</f>
        <v>1500</v>
      </c>
      <c r="F38">
        <f>H14</f>
        <v>860</v>
      </c>
    </row>
    <row r="39" spans="5:11" x14ac:dyDescent="1.1000000000000001">
      <c r="E39">
        <f>M15</f>
        <v>4200</v>
      </c>
      <c r="F39">
        <f>H15</f>
        <v>860</v>
      </c>
    </row>
    <row r="40" spans="5:11" x14ac:dyDescent="1.1000000000000001">
      <c r="E40">
        <f>M16</f>
        <v>6900</v>
      </c>
      <c r="F40">
        <f>H16</f>
        <v>660</v>
      </c>
    </row>
    <row r="41" spans="5:11" x14ac:dyDescent="1.1000000000000001">
      <c r="E41">
        <f>M17</f>
        <v>9400</v>
      </c>
      <c r="F41">
        <f>H17</f>
        <v>540</v>
      </c>
      <c r="K41" s="15" t="s">
        <v>47</v>
      </c>
    </row>
    <row r="42" spans="5:11" x14ac:dyDescent="1.1000000000000001">
      <c r="E42">
        <f>M18</f>
        <v>10900</v>
      </c>
      <c r="F42">
        <f>H18</f>
        <v>400</v>
      </c>
    </row>
    <row r="43" spans="5:11" x14ac:dyDescent="1.1000000000000001">
      <c r="E43">
        <f>M19</f>
        <v>10900</v>
      </c>
    </row>
  </sheetData>
  <mergeCells count="12">
    <mergeCell ref="J4:J6"/>
    <mergeCell ref="C13:E13"/>
    <mergeCell ref="I13:K13"/>
    <mergeCell ref="F13:H13"/>
    <mergeCell ref="I10:K11"/>
    <mergeCell ref="N13:P13"/>
    <mergeCell ref="C24:M29"/>
    <mergeCell ref="I12:K12"/>
    <mergeCell ref="F12:H12"/>
    <mergeCell ref="C22:D23"/>
    <mergeCell ref="N12:P12"/>
    <mergeCell ref="C12:E12"/>
  </mergeCells>
  <phoneticPr fontId="1"/>
  <hyperlinks>
    <hyperlink ref="K41" r:id="rId1" display="https://youtube.com/playlist?list=PLtl5ylS6jdP6uOxzSJKPnUsvMbkmalfKg&amp;si=yGcgfqDeptw4trVc" xr:uid="{00000000-0004-0000-01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181"/>
  <sheetViews>
    <sheetView zoomScale="70" zoomScaleNormal="70" workbookViewId="0">
      <pane xSplit="1" topLeftCell="G1" activePane="topRight" state="frozen"/>
      <selection activeCell="A167" sqref="A167"/>
      <selection pane="topRight" activeCell="AB10" sqref="AB10"/>
    </sheetView>
  </sheetViews>
  <sheetFormatPr defaultRowHeight="18" x14ac:dyDescent="1.1000000000000001"/>
  <cols>
    <col min="8" max="8" width="11.1640625" style="8" customWidth="1"/>
    <col min="12" max="12" width="12.0390625" style="8" customWidth="1"/>
  </cols>
  <sheetData>
    <row r="1" spans="1:13" ht="18" customHeight="1" x14ac:dyDescent="1.1000000000000001">
      <c r="A1" s="20"/>
      <c r="B1" s="41" t="s">
        <v>55</v>
      </c>
      <c r="C1" s="42"/>
      <c r="D1" s="42"/>
      <c r="E1" s="43"/>
      <c r="H1"/>
    </row>
    <row r="2" spans="1:13" ht="18.5" customHeight="1" x14ac:dyDescent="1.1000000000000001">
      <c r="B2" s="44"/>
      <c r="C2" s="29"/>
      <c r="D2" s="29"/>
      <c r="E2" s="30"/>
      <c r="H2"/>
      <c r="L2" s="31" t="s">
        <v>56</v>
      </c>
      <c r="M2" s="24"/>
    </row>
    <row r="3" spans="1:13" x14ac:dyDescent="1.1000000000000001">
      <c r="B3" t="s">
        <v>28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L3" s="2" t="s">
        <v>65</v>
      </c>
      <c r="M3" s="4">
        <v>900</v>
      </c>
    </row>
    <row r="4" spans="1:13" x14ac:dyDescent="1.1000000000000001">
      <c r="A4">
        <v>0</v>
      </c>
      <c r="B4">
        <v>700</v>
      </c>
      <c r="C4">
        <f>4*$M$3*10^3*100*0.001*SQRT(1-4*A4^2/(BASE!$L$13*BASE!$L$13*4))/(PI()*BASE!$L$13*2)</f>
        <v>5.2564935333103051</v>
      </c>
      <c r="D4" s="19">
        <v>0.37550827705283257</v>
      </c>
      <c r="E4">
        <v>0.91174329451753067</v>
      </c>
      <c r="F4">
        <v>8.2793491410086753E-3</v>
      </c>
      <c r="G4">
        <v>-0.11268391894315111</v>
      </c>
      <c r="H4">
        <v>0.36735009190442092</v>
      </c>
      <c r="I4" s="18">
        <f>1/2*BASE!$F$4*(BASE!$F$5^2)*B4/1000*E4*0.1</f>
        <v>5.2189389656538632</v>
      </c>
      <c r="J4" s="18">
        <f>1/2*BASE!$F$4*(BASE!$F$5^2)*B4/1000*F4*0.1</f>
        <v>4.7392087336521893E-2</v>
      </c>
      <c r="L4" s="2" t="s">
        <v>66</v>
      </c>
      <c r="M4" s="3">
        <f>SUM(I4:I181)*2</f>
        <v>906.98627049203242</v>
      </c>
    </row>
    <row r="5" spans="1:13" x14ac:dyDescent="1.1000000000000001">
      <c r="A5">
        <v>100</v>
      </c>
      <c r="B5">
        <v>700</v>
      </c>
      <c r="C5">
        <f>4*$M$3*10^3*100*0.001*SQRT(1-4*A5^2/(BASE!$L$13*BASE!$L$13*4))/(PI()*BASE!$L$13*2)</f>
        <v>5.2562723143832324</v>
      </c>
      <c r="D5" s="19">
        <v>0.37555584195383429</v>
      </c>
      <c r="E5">
        <v>0.9117381175922602</v>
      </c>
      <c r="F5">
        <v>8.2793245936642976E-3</v>
      </c>
      <c r="G5">
        <v>-0.11268391894315111</v>
      </c>
      <c r="H5">
        <v>0.36735085294283693</v>
      </c>
      <c r="I5">
        <f>1/2*BASE!$F$4*(BASE!$F$5^2)*(B5+B4)/2000*E5*0.1</f>
        <v>5.2189093322502744</v>
      </c>
      <c r="J5">
        <f>1/2*BASE!$F$4*(BASE!$F$5^2)*(B5+B4)/2000*F5*0.1</f>
        <v>4.7391946824282494E-2</v>
      </c>
      <c r="L5" s="2" t="s">
        <v>67</v>
      </c>
      <c r="M5" s="3">
        <f>SUM(J4:J181)*2</f>
        <v>9.0245836707475657</v>
      </c>
    </row>
    <row r="6" spans="1:13" x14ac:dyDescent="1.1000000000000001">
      <c r="A6">
        <v>200</v>
      </c>
      <c r="B6">
        <v>700</v>
      </c>
      <c r="C6">
        <f>4*$M$3*10^3*100*0.001*SQRT(1-4*A6^2/(BASE!$L$13*BASE!$L$13*4))/(PI()*BASE!$L$13*2)</f>
        <v>5.2556086017327699</v>
      </c>
      <c r="D6" s="19">
        <v>0.37577034133263681</v>
      </c>
      <c r="E6">
        <v>0.91171477165373782</v>
      </c>
      <c r="F6">
        <v>8.2792138945981912E-3</v>
      </c>
      <c r="G6">
        <v>-0.11268391894315111</v>
      </c>
      <c r="H6">
        <v>0.36735428493289768</v>
      </c>
      <c r="I6">
        <f>1/2*BASE!$F$4*(BASE!$F$5^2)*(B6+B5)/2000*E6*0.1</f>
        <v>5.2187756970165671</v>
      </c>
      <c r="J6">
        <f>1/2*BASE!$F$4*(BASE!$F$5^2)*(B6+B5)/2000*F6*0.1</f>
        <v>4.7391313168216098E-2</v>
      </c>
      <c r="L6" s="2" t="s">
        <v>68</v>
      </c>
      <c r="M6" s="3">
        <f>$M$4/BASE!$Q$13/BASE!$F$4/BASE!$F$5^2</f>
        <v>0.79440410444347898</v>
      </c>
    </row>
    <row r="7" spans="1:13" x14ac:dyDescent="1.1000000000000001">
      <c r="A7">
        <v>300</v>
      </c>
      <c r="B7">
        <v>700</v>
      </c>
      <c r="C7">
        <f>4*$M$3*10^3*100*0.001*SQRT(1-4*A7^2/(BASE!$L$13*BASE!$L$13*4))/(PI()*BASE!$L$13*2)</f>
        <v>5.2545022276806117</v>
      </c>
      <c r="D7" s="19">
        <v>0.37612847092970692</v>
      </c>
      <c r="E7">
        <v>0.9116757931186813</v>
      </c>
      <c r="F7">
        <v>8.2790290706972469E-3</v>
      </c>
      <c r="G7">
        <v>-0.11268391894315111</v>
      </c>
      <c r="H7">
        <v>0.36736001500645088</v>
      </c>
      <c r="I7">
        <f>1/2*BASE!$F$4*(BASE!$F$5^2)*(B7+B6)/2000*E7*0.1</f>
        <v>5.2185525787368334</v>
      </c>
      <c r="J7">
        <f>1/2*BASE!$F$4*(BASE!$F$5^2)*(B7+B6)/2000*F7*0.1</f>
        <v>4.7390255211810804E-2</v>
      </c>
      <c r="L7" s="2" t="s">
        <v>21</v>
      </c>
      <c r="M7" s="3">
        <f>BASE!$N$8</f>
        <v>34.038103423578285</v>
      </c>
    </row>
    <row r="8" spans="1:13" x14ac:dyDescent="1.1000000000000001">
      <c r="A8">
        <v>400</v>
      </c>
      <c r="B8">
        <v>700</v>
      </c>
      <c r="C8">
        <f>4*$M$3*10^3*100*0.001*SQRT(1-4*A8^2/(BASE!$L$13*BASE!$L$13*4))/(PI()*BASE!$L$13*2)</f>
        <v>5.252952912527463</v>
      </c>
      <c r="D8" s="19">
        <v>0.3765828168493211</v>
      </c>
      <c r="E8">
        <v>0.91162634247706897</v>
      </c>
      <c r="F8">
        <v>8.2787945913748769E-3</v>
      </c>
      <c r="G8">
        <v>-0.11268391894315111</v>
      </c>
      <c r="H8">
        <v>0.36736728454116468</v>
      </c>
      <c r="I8">
        <f>1/2*BASE!$F$4*(BASE!$F$5^2)*(B8+B7)/2000*E8*0.1</f>
        <v>5.2182695167368838</v>
      </c>
      <c r="J8">
        <f>1/2*BASE!$F$4*(BASE!$F$5^2)*(B8+B7)/2000*F8*0.1</f>
        <v>4.7388913021218865E-2</v>
      </c>
      <c r="L8" s="2" t="s">
        <v>69</v>
      </c>
      <c r="M8" s="3">
        <f>$M$6^2/(BASE!$N$8*BASE!$N$7*PI())*BASE!$F$4*BASE!$F$5^2*BASE!$Q$13</f>
        <v>6.7712066543062939</v>
      </c>
    </row>
    <row r="9" spans="1:13" x14ac:dyDescent="1.1000000000000001">
      <c r="A9">
        <v>500</v>
      </c>
      <c r="B9">
        <v>700</v>
      </c>
      <c r="C9">
        <f>4*$M$3*10^3*100*0.001*SQRT(1-4*A9^2/(BASE!$L$13*BASE!$L$13*4))/(PI()*BASE!$L$13*2)</f>
        <v>5.250960264199132</v>
      </c>
      <c r="D9" s="19">
        <v>0.37723220767583182</v>
      </c>
      <c r="E9">
        <v>0.91155566330588722</v>
      </c>
      <c r="F9">
        <v>8.2784594530708241E-3</v>
      </c>
      <c r="G9">
        <v>-0.11268391894315111</v>
      </c>
      <c r="H9">
        <v>0.36737767479438888</v>
      </c>
      <c r="I9">
        <f>1/2*BASE!$F$4*(BASE!$F$5^2)*(B9+B8)/2000*E9*0.1</f>
        <v>5.217864939831566</v>
      </c>
      <c r="J9">
        <f>1/2*BASE!$F$4*(BASE!$F$5^2)*(B9+B8)/2000*F9*0.1</f>
        <v>4.7386994645329056E-2</v>
      </c>
      <c r="L9" s="2" t="s">
        <v>70</v>
      </c>
      <c r="M9" s="3">
        <f>$M$8+$M$5</f>
        <v>15.79579032505386</v>
      </c>
    </row>
    <row r="10" spans="1:13" x14ac:dyDescent="1.1000000000000001">
      <c r="A10">
        <v>600</v>
      </c>
      <c r="B10">
        <v>700</v>
      </c>
      <c r="C10">
        <f>4*$M$3*10^3*100*0.001*SQRT(1-4*A10^2/(BASE!$L$13*BASE!$L$13*4))/(PI()*BASE!$L$13*2)</f>
        <v>5.2485237777495968</v>
      </c>
      <c r="D10" s="19">
        <v>0.37800536160177278</v>
      </c>
      <c r="E10">
        <v>0.91147151385928205</v>
      </c>
      <c r="F10">
        <v>8.2780604429756165E-3</v>
      </c>
      <c r="G10">
        <v>-0.11268391894315111</v>
      </c>
      <c r="H10">
        <v>0.36739004525720392</v>
      </c>
      <c r="I10">
        <f>1/2*BASE!$F$4*(BASE!$F$5^2)*(B10+B9)/2000*E10*0.1</f>
        <v>5.2173832572916812</v>
      </c>
      <c r="J10">
        <f>1/2*BASE!$F$4*(BASE!$F$5^2)*(B10+B9)/2000*F10*0.1</f>
        <v>4.7384710658875749E-2</v>
      </c>
      <c r="L10" s="2" t="s">
        <v>71</v>
      </c>
      <c r="M10" s="3">
        <f>$M$9+BASE!$I$4+BASE!$I$5+BASE!$I$6</f>
        <v>21.795790325053858</v>
      </c>
    </row>
    <row r="11" spans="1:13" x14ac:dyDescent="1.1000000000000001">
      <c r="A11">
        <v>700</v>
      </c>
      <c r="B11">
        <v>700</v>
      </c>
      <c r="C11">
        <f>4*$M$3*10^3*100*0.001*SQRT(1-4*A11^2/(BASE!$L$13*BASE!$L$13*4))/(PI()*BASE!$L$13*2)</f>
        <v>5.2456428347195718</v>
      </c>
      <c r="D11" s="19">
        <v>0.37887807994310219</v>
      </c>
      <c r="E11">
        <v>0.91137652790240975</v>
      </c>
      <c r="F11">
        <v>8.2776100495716917E-3</v>
      </c>
      <c r="G11">
        <v>-0.11268391894315111</v>
      </c>
      <c r="H11">
        <v>0.3674040087506652</v>
      </c>
      <c r="I11">
        <f>1/2*BASE!$F$4*(BASE!$F$5^2)*(B11+B10)/2000*E11*0.1</f>
        <v>5.2168395451366356</v>
      </c>
      <c r="J11">
        <f>1/2*BASE!$F$4*(BASE!$F$5^2)*(B11+B10)/2000*F11*0.1</f>
        <v>4.7382132547580884E-2</v>
      </c>
      <c r="L11" s="2" t="s">
        <v>72</v>
      </c>
      <c r="M11" s="3">
        <f>$M$10*BASE!$F$5/BASE!$I$7/BASE!$I$8</f>
        <v>346.31580300119384</v>
      </c>
    </row>
    <row r="12" spans="1:13" x14ac:dyDescent="1.1000000000000001">
      <c r="A12">
        <v>800</v>
      </c>
      <c r="B12">
        <v>700</v>
      </c>
      <c r="C12">
        <f>4*$M$3*10^3*100*0.001*SQRT(1-4*A12^2/(BASE!$L$13*BASE!$L$13*4))/(PI()*BASE!$L$13*2)</f>
        <v>5.242316702348675</v>
      </c>
      <c r="D12" s="19">
        <v>0.37998052387279457</v>
      </c>
      <c r="E12">
        <v>0.91125653879870827</v>
      </c>
      <c r="F12">
        <v>8.27704109914334E-3</v>
      </c>
      <c r="G12">
        <v>-0.11268391894315111</v>
      </c>
      <c r="H12">
        <v>0.36742164785354031</v>
      </c>
      <c r="I12">
        <f>1/2*BASE!$F$4*(BASE!$F$5^2)*(B12+B11)/2000*E12*0.1</f>
        <v>5.2161527116687862</v>
      </c>
      <c r="J12">
        <f>1/2*BASE!$F$4*(BASE!$F$5^2)*(B12+B11)/2000*F12*0.1</f>
        <v>4.737887580022896E-2</v>
      </c>
    </row>
    <row r="13" spans="1:13" x14ac:dyDescent="1.1000000000000001">
      <c r="A13">
        <v>900</v>
      </c>
      <c r="B13">
        <v>700</v>
      </c>
      <c r="C13">
        <f>4*$M$3*10^3*100*0.001*SQRT(1-4*A13^2/(BASE!$L$13*BASE!$L$13*4))/(PI()*BASE!$L$13*2)</f>
        <v>5.2385445326388327</v>
      </c>
      <c r="D13" s="19">
        <v>0.38118922030487029</v>
      </c>
      <c r="E13">
        <v>0.91112498525877239</v>
      </c>
      <c r="F13">
        <v>8.2764173138112646E-3</v>
      </c>
      <c r="G13">
        <v>-0.11268391894315111</v>
      </c>
      <c r="H13">
        <v>0.3674409869964535</v>
      </c>
      <c r="I13">
        <f>1/2*BASE!$F$4*(BASE!$F$5^2)*(B13+B12)/2000*E13*0.1</f>
        <v>5.215399681841455</v>
      </c>
      <c r="J13">
        <f>1/2*BASE!$F$4*(BASE!$F$5^2)*(B13+B12)/2000*F13*0.1</f>
        <v>4.7375305170650056E-2</v>
      </c>
    </row>
    <row r="14" spans="1:13" x14ac:dyDescent="1.1000000000000001">
      <c r="A14">
        <v>1000</v>
      </c>
      <c r="B14">
        <v>700</v>
      </c>
      <c r="C14">
        <f>4*$M$3*10^3*100*0.001*SQRT(1-4*A14^2/(BASE!$L$13*BASE!$L$13*4))/(PI()*BASE!$L$13*2)</f>
        <v>5.2343253612661229</v>
      </c>
      <c r="D14" s="19">
        <v>0.38252885693613697</v>
      </c>
      <c r="E14">
        <v>0.91097918029369263</v>
      </c>
      <c r="F14">
        <v>8.275725952722808E-3</v>
      </c>
      <c r="G14">
        <v>-0.11268391894315111</v>
      </c>
      <c r="H14">
        <v>0.36746242118255368</v>
      </c>
      <c r="I14">
        <f>1/2*BASE!$F$4*(BASE!$F$5^2)*(B14+B13)/2000*E14*0.1</f>
        <v>5.2145650749754475</v>
      </c>
      <c r="J14">
        <f>1/2*BASE!$F$4*(BASE!$F$5^2)*(B14+B13)/2000*F14*0.1</f>
        <v>4.73713477285218E-2</v>
      </c>
    </row>
    <row r="15" spans="1:13" x14ac:dyDescent="1.1000000000000001">
      <c r="A15">
        <v>1100</v>
      </c>
      <c r="B15">
        <v>700</v>
      </c>
      <c r="C15">
        <f>4*$M$3*10^3*100*0.001*SQRT(1-4*A15^2/(BASE!$L$13*BASE!$L$13*4))/(PI()*BASE!$L$13*2)</f>
        <v>5.2296581063377818</v>
      </c>
      <c r="D15" s="19">
        <v>0.3840908357417302</v>
      </c>
      <c r="E15">
        <v>0.91080917578658271</v>
      </c>
      <c r="F15">
        <v>8.2749198450500407E-3</v>
      </c>
      <c r="G15">
        <v>-0.11268391894315111</v>
      </c>
      <c r="H15">
        <v>0.36748741284344322</v>
      </c>
      <c r="I15">
        <f>1/2*BASE!$F$4*(BASE!$F$5^2)*(B15+B14)/2000*E15*0.1</f>
        <v>5.2135919467365808</v>
      </c>
      <c r="J15">
        <f>1/2*BASE!$F$4*(BASE!$F$5^2)*(B15+B14)/2000*F15*0.1</f>
        <v>4.7366733461798677E-2</v>
      </c>
    </row>
    <row r="16" spans="1:13" ht="18" customHeight="1" x14ac:dyDescent="1.1000000000000001">
      <c r="A16">
        <v>1200</v>
      </c>
      <c r="B16">
        <v>700</v>
      </c>
      <c r="C16">
        <f>4*$M$3*10^3*100*0.001*SQRT(1-4*A16^2/(BASE!$L$13*BASE!$L$13*4))/(PI()*BASE!$L$13*2)</f>
        <v>5.2245415669905837</v>
      </c>
      <c r="D16" s="19">
        <v>0.38576855124288117</v>
      </c>
      <c r="E16">
        <v>0.91062657459134067</v>
      </c>
      <c r="F16">
        <v>8.2740540078611157E-3</v>
      </c>
      <c r="G16">
        <v>-0.11268391894315111</v>
      </c>
      <c r="H16" s="17">
        <v>0.36751425629146173</v>
      </c>
      <c r="I16">
        <f>1/2*BASE!$F$4*(BASE!$F$5^2)*(B16+B15)/2000*E16*0.1</f>
        <v>5.212546713392114</v>
      </c>
      <c r="J16">
        <f>1/2*BASE!$F$4*(BASE!$F$5^2)*(B16+B15)/2000*F16*0.1</f>
        <v>4.7361777295440929E-2</v>
      </c>
    </row>
    <row r="17" spans="1:10" x14ac:dyDescent="1.1000000000000001">
      <c r="A17">
        <v>1300</v>
      </c>
      <c r="B17">
        <v>700</v>
      </c>
      <c r="C17">
        <f>4*$M$3*10^3*100*0.001*SQRT(1-4*A17^2/(BASE!$L$13*BASE!$L$13*4))/(PI()*BASE!$L$13*2)</f>
        <v>5.2189744218263421</v>
      </c>
      <c r="D17" s="19">
        <v>0.38761503705473332</v>
      </c>
      <c r="E17">
        <v>0.91042560457228194</v>
      </c>
      <c r="F17">
        <v>8.2731010715118777E-3</v>
      </c>
      <c r="G17">
        <v>-0.11268391894315111</v>
      </c>
      <c r="H17">
        <v>0.36754380006445131</v>
      </c>
      <c r="I17">
        <f>1/2*BASE!$F$4*(BASE!$F$5^2)*(B17+B16)/2000*E17*0.1</f>
        <v>5.2113963344754808</v>
      </c>
      <c r="J17">
        <f>1/2*BASE!$F$4*(BASE!$F$5^2)*(B17+B16)/2000*F17*0.1</f>
        <v>4.7356322561992674E-2</v>
      </c>
    </row>
    <row r="18" spans="1:10" x14ac:dyDescent="1.1000000000000001">
      <c r="A18">
        <v>1400</v>
      </c>
      <c r="B18">
        <v>700</v>
      </c>
      <c r="C18">
        <f>4*$M$3*10^3*100*0.001*SQRT(1-4*A18^2/(BASE!$L$13*BASE!$L$13*4))/(PI()*BASE!$L$13*2)</f>
        <v>5.2129552271796831</v>
      </c>
      <c r="D18" s="19">
        <v>0.3896818083493388</v>
      </c>
      <c r="E18">
        <v>0.9102006588598367</v>
      </c>
      <c r="F18">
        <v>8.2720344499978924E-3</v>
      </c>
      <c r="G18">
        <v>-0.11268391894315111</v>
      </c>
      <c r="H18">
        <v>0.36757686840516501</v>
      </c>
      <c r="I18">
        <f>1/2*BASE!$F$4*(BASE!$F$5^2)*(B18+B17)/2000*E18*0.1</f>
        <v>5.2101087155251733</v>
      </c>
      <c r="J18">
        <f>1/2*BASE!$F$4*(BASE!$F$5^2)*(B18+B17)/2000*F18*0.1</f>
        <v>4.7350217079655255E-2</v>
      </c>
    </row>
    <row r="19" spans="1:10" x14ac:dyDescent="1.1000000000000001">
      <c r="A19">
        <v>1500</v>
      </c>
      <c r="B19">
        <v>700</v>
      </c>
      <c r="C19">
        <f>4*$M$3*10^3*100*0.001*SQRT(1-4*A19^2/(BASE!$L$13*BASE!$L$13*4))/(PI()*BASE!$L$13*2)</f>
        <v>5.2064824152127489</v>
      </c>
      <c r="D19" s="19">
        <v>0.39187808018154091</v>
      </c>
      <c r="E19">
        <v>0.90996161841384871</v>
      </c>
      <c r="F19">
        <v>8.2709009957096027E-3</v>
      </c>
      <c r="G19">
        <v>-0.11268391894315111</v>
      </c>
      <c r="H19">
        <v>0.36761200875448019</v>
      </c>
      <c r="I19">
        <f>1/2*BASE!$F$4*(BASE!$F$5^2)*(B19+B18)/2000*E19*0.1</f>
        <v>5.2087404164595963</v>
      </c>
      <c r="J19">
        <f>1/2*BASE!$F$4*(BASE!$F$5^2)*(B19+B18)/2000*F19*0.1</f>
        <v>4.7343729037695945E-2</v>
      </c>
    </row>
    <row r="20" spans="1:10" x14ac:dyDescent="1.1000000000000001">
      <c r="A20">
        <v>1600</v>
      </c>
      <c r="B20">
        <v>700</v>
      </c>
      <c r="C20">
        <f>4*$M$3*10^3*100*0.001*SQRT(1-4*A20^2/(BASE!$L$13*BASE!$L$13*4))/(PI()*BASE!$L$13*2)</f>
        <v>5.199554291830828</v>
      </c>
      <c r="D20" s="19">
        <v>0.39428999605569609</v>
      </c>
      <c r="E20">
        <v>0.90969910744512861</v>
      </c>
      <c r="F20">
        <v>8.2696562516162385E-3</v>
      </c>
      <c r="G20">
        <v>-0.11268391894315111</v>
      </c>
      <c r="H20">
        <v>0.36765059940846673</v>
      </c>
      <c r="I20">
        <f>1/2*BASE!$F$4*(BASE!$F$5^2)*(B20+B19)/2000*E20*0.1</f>
        <v>5.2072377690238518</v>
      </c>
      <c r="J20">
        <f>1/2*BASE!$F$4*(BASE!$F$5^2)*(B20+B19)/2000*F20*0.1</f>
        <v>4.7336603958202418E-2</v>
      </c>
    </row>
    <row r="21" spans="1:10" x14ac:dyDescent="1.1000000000000001">
      <c r="A21">
        <v>1700</v>
      </c>
      <c r="B21">
        <v>700</v>
      </c>
      <c r="C21">
        <f>4*$M$3*10^3*100*0.001*SQRT(1-4*A21^2/(BASE!$L$13*BASE!$L$13*4))/(PI()*BASE!$L$13*2)</f>
        <v>5.192169034412343</v>
      </c>
      <c r="D21" s="19">
        <v>0.3969265642979245</v>
      </c>
      <c r="E21">
        <v>0.90941214549476357</v>
      </c>
      <c r="F21">
        <v>8.2682955686913355E-3</v>
      </c>
      <c r="G21">
        <v>-0.11268391894315111</v>
      </c>
      <c r="H21">
        <v>0.36769278450034237</v>
      </c>
      <c r="I21">
        <f>1/2*BASE!$F$4*(BASE!$F$5^2)*(B21+B20)/2000*E21*0.1</f>
        <v>5.2055951609417015</v>
      </c>
      <c r="J21">
        <f>1/2*BASE!$F$4*(BASE!$F$5^2)*(B21+B20)/2000*F21*0.1</f>
        <v>4.7328815229533527E-2</v>
      </c>
    </row>
    <row r="22" spans="1:10" x14ac:dyDescent="1.1000000000000001">
      <c r="A22">
        <v>1800</v>
      </c>
      <c r="B22">
        <v>700</v>
      </c>
      <c r="C22">
        <f>4*$M$3*10^3*100*0.001*SQRT(1-4*A22^2/(BASE!$L$13*BASE!$L$13*4))/(PI()*BASE!$L$13*2)</f>
        <v>5.1843246893459174</v>
      </c>
      <c r="D22" s="19">
        <v>0.39971207140646109</v>
      </c>
      <c r="E22">
        <v>0.9091089731589147</v>
      </c>
      <c r="F22">
        <v>8.2668580212389015E-3</v>
      </c>
      <c r="G22">
        <v>-0.11268391894315111</v>
      </c>
      <c r="H22">
        <v>0.36773735261407903</v>
      </c>
      <c r="I22">
        <f>1/2*BASE!$F$4*(BASE!$F$5^2)*(B22+B21)/2000*E22*0.1</f>
        <v>5.2038597624733125</v>
      </c>
      <c r="J22">
        <f>1/2*BASE!$F$4*(BASE!$F$5^2)*(B22+B21)/2000*F22*0.1</f>
        <v>4.7320586518163128E-2</v>
      </c>
    </row>
    <row r="23" spans="1:10" x14ac:dyDescent="1.1000000000000001">
      <c r="A23">
        <v>1900</v>
      </c>
      <c r="B23">
        <v>700</v>
      </c>
      <c r="C23">
        <f>4*$M$3*10^3*100*0.001*SQRT(1-4*A23^2/(BASE!$L$13*BASE!$L$13*4))/(PI()*BASE!$L$13*2)</f>
        <v>5.17601916936656</v>
      </c>
      <c r="D23" s="19">
        <v>0.40277286140856389</v>
      </c>
      <c r="E23">
        <v>0.90877494744522691</v>
      </c>
      <c r="F23">
        <v>8.2656448727245705E-3</v>
      </c>
      <c r="G23">
        <v>-0.1126855283265651</v>
      </c>
      <c r="H23">
        <v>0.36778793463752663</v>
      </c>
      <c r="I23">
        <f>1/2*BASE!$F$4*(BASE!$F$5^2)*(B23+B22)/2000*E23*0.1</f>
        <v>5.2019477551976046</v>
      </c>
      <c r="J23">
        <f>1/2*BASE!$F$4*(BASE!$F$5^2)*(B23+B22)/2000*F23*0.1</f>
        <v>4.731364229593453E-2</v>
      </c>
    </row>
    <row r="24" spans="1:10" x14ac:dyDescent="1.1000000000000001">
      <c r="A24">
        <v>2000</v>
      </c>
      <c r="B24">
        <v>700</v>
      </c>
      <c r="C24">
        <f>4*$M$3*10^3*100*0.001*SQRT(1-4*A24^2/(BASE!$L$13*BASE!$L$13*4))/(PI()*BASE!$L$13*2)</f>
        <v>5.1672502506822484</v>
      </c>
      <c r="D24" s="19">
        <v>0.4060711745261279</v>
      </c>
      <c r="E24">
        <v>0.90841490091180488</v>
      </c>
      <c r="F24">
        <v>8.264378587838293E-3</v>
      </c>
      <c r="G24">
        <v>-0.1126874426849276</v>
      </c>
      <c r="H24">
        <v>0.36784262200577023</v>
      </c>
      <c r="I24">
        <f>1/2*BASE!$F$4*(BASE!$F$5^2)*(B24+B23)/2000*E24*0.1</f>
        <v>5.1998868013150545</v>
      </c>
      <c r="J24">
        <f>1/2*BASE!$F$4*(BASE!$F$5^2)*(B24+B23)/2000*F24*0.1</f>
        <v>4.7306393914099035E-2</v>
      </c>
    </row>
    <row r="25" spans="1:10" x14ac:dyDescent="1.1000000000000001">
      <c r="A25">
        <v>2100</v>
      </c>
      <c r="B25">
        <v>700</v>
      </c>
      <c r="C25">
        <f>4*$M$3*10^3*100*0.001*SQRT(1-4*A25^2/(BASE!$L$13*BASE!$L$13*4))/(PI()*BASE!$L$13*2)</f>
        <v>5.1580155698813703</v>
      </c>
      <c r="D25" s="19">
        <v>0.40954600891282789</v>
      </c>
      <c r="E25">
        <v>0.90803558517356153</v>
      </c>
      <c r="F25">
        <v>8.2630445330929263E-3</v>
      </c>
      <c r="G25">
        <v>-0.11268945949716749</v>
      </c>
      <c r="H25">
        <v>0.36790023616819728</v>
      </c>
      <c r="I25">
        <f>1/2*BASE!$F$4*(BASE!$F$5^2)*(B25+B24)/2000*E25*0.1</f>
        <v>5.1977155479606196</v>
      </c>
      <c r="J25">
        <f>1/2*BASE!$F$4*(BASE!$F$5^2)*(B25+B24)/2000*F25*0.1</f>
        <v>4.7298757608644666E-2</v>
      </c>
    </row>
    <row r="26" spans="1:10" x14ac:dyDescent="1.1000000000000001">
      <c r="A26">
        <v>2200</v>
      </c>
      <c r="B26">
        <v>700</v>
      </c>
      <c r="C26">
        <f>4*$M$3*10^3*100*0.001*SQRT(1-4*A26^2/(BASE!$L$13*BASE!$L$13*4))/(PI()*BASE!$L$13*2)</f>
        <v>5.1483126206106338</v>
      </c>
      <c r="D26" s="19">
        <v>0.41337394407544459</v>
      </c>
      <c r="E26">
        <v>0.90761772466840662</v>
      </c>
      <c r="F26">
        <v>8.2615749162708446E-3</v>
      </c>
      <c r="G26">
        <v>-0.1126916812509637</v>
      </c>
      <c r="H26">
        <v>0.36796370488459518</v>
      </c>
      <c r="I26">
        <f>1/2*BASE!$F$4*(BASE!$F$5^2)*(B26+B25)/2000*E26*0.1</f>
        <v>5.1953236592725709</v>
      </c>
      <c r="J26">
        <f>1/2*BASE!$F$4*(BASE!$F$5^2)*(B26+B25)/2000*F26*0.1</f>
        <v>4.729034532796933E-2</v>
      </c>
    </row>
    <row r="27" spans="1:10" x14ac:dyDescent="1.1000000000000001">
      <c r="A27">
        <v>2300</v>
      </c>
      <c r="B27">
        <v>700</v>
      </c>
      <c r="C27">
        <f>4*$M$3*10^3*100*0.001*SQRT(1-4*A27^2/(BASE!$L$13*BASE!$L$13*4))/(PI()*BASE!$L$13*2)</f>
        <v>5.1381387500121116</v>
      </c>
      <c r="D27" s="19">
        <v>0.41746496963252477</v>
      </c>
      <c r="E27">
        <v>0.90717114500253937</v>
      </c>
      <c r="F27">
        <v>8.2600042940625656E-3</v>
      </c>
      <c r="G27">
        <v>-0.11269405570381499</v>
      </c>
      <c r="H27">
        <v>0.36803153574635977</v>
      </c>
      <c r="I27">
        <f>1/2*BASE!$F$4*(BASE!$F$5^2)*(B27+B26)/2000*E27*0.1</f>
        <v>5.1927673783177477</v>
      </c>
      <c r="J27">
        <f>1/2*BASE!$F$4*(BASE!$F$5^2)*(B27+B26)/2000*F27*0.1</f>
        <v>4.7281354879130932E-2</v>
      </c>
    </row>
    <row r="28" spans="1:10" x14ac:dyDescent="1.1000000000000001">
      <c r="A28">
        <v>2400</v>
      </c>
      <c r="B28">
        <v>700</v>
      </c>
      <c r="C28">
        <f>4*$M$3*10^3*100*0.001*SQRT(1-4*A28^2/(BASE!$L$13*BASE!$L$13*4))/(PI()*BASE!$L$13*2)</f>
        <v>5.1274911549071005</v>
      </c>
      <c r="D28" s="19">
        <v>0.42177243550105892</v>
      </c>
      <c r="E28">
        <v>0.90670093853683409</v>
      </c>
      <c r="F28">
        <v>8.2583505763186588E-3</v>
      </c>
      <c r="G28">
        <v>-0.1126965557797668</v>
      </c>
      <c r="H28">
        <v>0.36810295527620818</v>
      </c>
      <c r="I28">
        <f>1/2*BASE!$F$4*(BASE!$F$5^2)*(B28+B27)/2000*E28*0.1</f>
        <v>5.1900758544419725</v>
      </c>
      <c r="J28">
        <f>1/2*BASE!$F$4*(BASE!$F$5^2)*(B28+B27)/2000*F28*0.1</f>
        <v>4.7271888780478201E-2</v>
      </c>
    </row>
    <row r="29" spans="1:10" x14ac:dyDescent="1.1000000000000001">
      <c r="A29">
        <v>2500</v>
      </c>
      <c r="B29">
        <v>700</v>
      </c>
      <c r="C29">
        <f>4*$M$3*10^3*100*0.001*SQRT(1-4*A29^2/(BASE!$L$13*BASE!$L$13*4))/(PI()*BASE!$L$13*2)</f>
        <v>5.1163668777133529</v>
      </c>
      <c r="D29" s="19">
        <v>0.42653735172779261</v>
      </c>
      <c r="E29">
        <v>0.90618079641923288</v>
      </c>
      <c r="F29">
        <v>8.2565212347166881E-3</v>
      </c>
      <c r="G29">
        <v>-0.1126993213623237</v>
      </c>
      <c r="H29">
        <v>0.36818195951839289</v>
      </c>
      <c r="I29">
        <f>1/2*BASE!$F$4*(BASE!$F$5^2)*(B29+B28)/2000*E29*0.1</f>
        <v>5.1870984923033641</v>
      </c>
      <c r="J29">
        <f>1/2*BASE!$F$4*(BASE!$F$5^2)*(B29+B28)/2000*F29*0.1</f>
        <v>4.7261417387679999E-2</v>
      </c>
    </row>
    <row r="30" spans="1:10" x14ac:dyDescent="1.1000000000000001">
      <c r="A30">
        <v>2600</v>
      </c>
      <c r="B30">
        <v>700</v>
      </c>
      <c r="C30">
        <f>4*$M$3*10^3*100*0.001*SQRT(1-4*A30^2/(BASE!$L$13*BASE!$L$13*4))/(PI()*BASE!$L$13*2)</f>
        <v>5.1047628020811331</v>
      </c>
      <c r="D30" s="19">
        <v>0.43161185844113498</v>
      </c>
      <c r="E30">
        <v>0.90562685915316921</v>
      </c>
      <c r="F30">
        <v>8.2545730354622888E-3</v>
      </c>
      <c r="G30">
        <v>-0.1127022666328351</v>
      </c>
      <c r="H30">
        <v>0.36826609689631767</v>
      </c>
      <c r="I30">
        <f>1/2*BASE!$F$4*(BASE!$F$5^2)*(B30+B29)/2000*E30*0.1</f>
        <v>5.1839276822740814</v>
      </c>
      <c r="J30">
        <f>1/2*BASE!$F$4*(BASE!$F$5^2)*(B30+B29)/2000*F30*0.1</f>
        <v>4.7250265637990389E-2</v>
      </c>
    </row>
    <row r="31" spans="1:10" x14ac:dyDescent="1.1000000000000001">
      <c r="A31">
        <v>2700</v>
      </c>
      <c r="B31">
        <v>700</v>
      </c>
      <c r="C31">
        <f>4*$M$3*10^3*100*0.001*SQRT(1-4*A31^2/(BASE!$L$13*BASE!$L$13*4))/(PI()*BASE!$L$13*2)</f>
        <v>5.0926756482322117</v>
      </c>
      <c r="D31" s="19">
        <v>0.43696258731120602</v>
      </c>
      <c r="E31">
        <v>0.90504276925257998</v>
      </c>
      <c r="F31">
        <v>8.2525187892894033E-3</v>
      </c>
      <c r="G31">
        <v>-0.11270537222414589</v>
      </c>
      <c r="H31">
        <v>0.36835481414954963</v>
      </c>
      <c r="I31">
        <f>1/2*BASE!$F$4*(BASE!$F$5^2)*(B31+B30)/2000*E31*0.1</f>
        <v>5.1805842745847022</v>
      </c>
      <c r="J31">
        <f>1/2*BASE!$F$4*(BASE!$F$5^2)*(B31+B30)/2000*F31*0.1</f>
        <v>4.7238506861741435E-2</v>
      </c>
    </row>
    <row r="32" spans="1:10" x14ac:dyDescent="1.1000000000000001">
      <c r="A32">
        <v>2800</v>
      </c>
      <c r="B32">
        <v>700</v>
      </c>
      <c r="C32">
        <f>4*$M$3*10^3*100*0.001*SQRT(1-4*A32^2/(BASE!$L$13*BASE!$L$13*4))/(PI()*BASE!$L$13*2)</f>
        <v>5.0801019679845751</v>
      </c>
      <c r="D32" s="19">
        <v>0.44291544490593743</v>
      </c>
      <c r="E32">
        <v>0.90439295049234036</v>
      </c>
      <c r="F32">
        <v>8.2502333744929046E-3</v>
      </c>
      <c r="G32">
        <v>-0.1127088272941502</v>
      </c>
      <c r="H32">
        <v>0.36845351494106959</v>
      </c>
      <c r="I32">
        <f>1/2*BASE!$F$4*(BASE!$F$5^2)*(B32+B31)/2000*E32*0.1</f>
        <v>5.1768646262266387</v>
      </c>
      <c r="J32">
        <f>1/2*BASE!$F$4*(BASE!$F$5^2)*(B32+B31)/2000*F32*0.1</f>
        <v>4.7225424845777235E-2</v>
      </c>
    </row>
    <row r="33" spans="1:10" x14ac:dyDescent="1.1000000000000001">
      <c r="A33">
        <v>2900</v>
      </c>
      <c r="B33">
        <v>700</v>
      </c>
      <c r="C33">
        <f>4*$M$3*10^3*100*0.001*SQRT(1-4*A33^2/(BASE!$L$13*BASE!$L$13*4))/(PI()*BASE!$L$13*2)</f>
        <v>5.0670381394441213</v>
      </c>
      <c r="D33" s="19">
        <v>0.44926205506839972</v>
      </c>
      <c r="E33">
        <v>0.90370014938264376</v>
      </c>
      <c r="F33">
        <v>8.2477967906267394E-3</v>
      </c>
      <c r="G33">
        <v>-0.11271251090022549</v>
      </c>
      <c r="H33">
        <v>0.36855874430974439</v>
      </c>
      <c r="I33">
        <f>1/2*BASE!$F$4*(BASE!$F$5^2)*(B33+B32)/2000*E33*0.1</f>
        <v>5.1728989412267206</v>
      </c>
      <c r="J33">
        <f>1/2*BASE!$F$4*(BASE!$F$5^2)*(B33+B32)/2000*F33*0.1</f>
        <v>4.7211477518104325E-2</v>
      </c>
    </row>
    <row r="34" spans="1:10" x14ac:dyDescent="1.1000000000000001">
      <c r="A34">
        <v>3000</v>
      </c>
      <c r="B34">
        <v>700</v>
      </c>
      <c r="C34">
        <f>4*$M$3*10^3*100*0.001*SQRT(1-4*A34^2/(BASE!$L$13*BASE!$L$13*4))/(PI()*BASE!$L$13*2)</f>
        <v>5.0534803613429755</v>
      </c>
      <c r="D34" s="19">
        <v>0.45597914427639979</v>
      </c>
      <c r="E34">
        <v>0.90296690648003763</v>
      </c>
      <c r="F34">
        <v>8.2452179728369525E-3</v>
      </c>
      <c r="G34">
        <v>-0.1127164095342966</v>
      </c>
      <c r="H34">
        <v>0.36867011637114339</v>
      </c>
      <c r="I34">
        <f>1/2*BASE!$F$4*(BASE!$F$5^2)*(B34+B33)/2000*E34*0.1</f>
        <v>5.1687017620659734</v>
      </c>
      <c r="J34">
        <f>1/2*BASE!$F$4*(BASE!$F$5^2)*(B34+B33)/2000*F34*0.1</f>
        <v>4.7196716024678086E-2</v>
      </c>
    </row>
    <row r="35" spans="1:10" x14ac:dyDescent="1.1000000000000001">
      <c r="A35">
        <v>3100</v>
      </c>
      <c r="B35">
        <v>700</v>
      </c>
      <c r="C35">
        <f>4*$M$3*10^3*100*0.001*SQRT(1-4*A35^2/(BASE!$L$13*BASE!$L$13*4))/(PI()*BASE!$L$13*2)</f>
        <v>5.0394246470022903</v>
      </c>
      <c r="D35" s="19">
        <v>0.46350821784318819</v>
      </c>
      <c r="E35">
        <v>0.90214502670665719</v>
      </c>
      <c r="F35">
        <v>8.2423274188702846E-3</v>
      </c>
      <c r="G35">
        <v>-0.1127207794483802</v>
      </c>
      <c r="H35">
        <v>0.36879495146229568</v>
      </c>
      <c r="I35">
        <f>1/2*BASE!$F$4*(BASE!$F$5^2)*(B35+B34)/2000*E35*0.1</f>
        <v>5.1639972137570682</v>
      </c>
      <c r="J35">
        <f>1/2*BASE!$F$4*(BASE!$F$5^2)*(B35+B34)/2000*F35*0.1</f>
        <v>4.7180170112226978E-2</v>
      </c>
    </row>
    <row r="36" spans="1:10" x14ac:dyDescent="1.1000000000000001">
      <c r="A36">
        <v>3200</v>
      </c>
      <c r="B36">
        <v>700</v>
      </c>
      <c r="C36">
        <f>4*$M$3*10^3*100*0.001*SQRT(1-4*A36^2/(BASE!$L$13*BASE!$L$13*4))/(PI()*BASE!$L$13*2)</f>
        <v>5.0248668178954139</v>
      </c>
      <c r="D36" s="19">
        <v>0.47158955663068852</v>
      </c>
      <c r="E36">
        <v>0.90126286121413512</v>
      </c>
      <c r="F36">
        <v>8.2392248398237417E-3</v>
      </c>
      <c r="G36">
        <v>-0.1127254699001163</v>
      </c>
      <c r="H36">
        <v>0.36892894333463172</v>
      </c>
      <c r="I36">
        <f>1/2*BASE!$F$4*(BASE!$F$5^2)*(B36+B35)/2000*E36*0.1</f>
        <v>5.1589475820342328</v>
      </c>
      <c r="J36">
        <f>1/2*BASE!$F$4*(BASE!$F$5^2)*(B36+B35)/2000*F36*0.1</f>
        <v>4.7162410540231889E-2</v>
      </c>
    </row>
    <row r="37" spans="1:10" x14ac:dyDescent="1.1000000000000001">
      <c r="A37">
        <v>3300</v>
      </c>
      <c r="B37">
        <v>700</v>
      </c>
      <c r="C37">
        <f>4*$M$3*10^3*100*0.001*SQRT(1-4*A37^2/(BASE!$L$13*BASE!$L$13*4))/(PI()*BASE!$L$13*2)</f>
        <v>5.0098024967852597</v>
      </c>
      <c r="D37" s="19">
        <v>0.48020182560146851</v>
      </c>
      <c r="E37">
        <v>0.90032273895245085</v>
      </c>
      <c r="F37">
        <v>8.2359184266223469E-3</v>
      </c>
      <c r="G37">
        <v>-0.1127304685065362</v>
      </c>
      <c r="H37">
        <v>0.36907173824458422</v>
      </c>
      <c r="I37">
        <f>1/2*BASE!$F$4*(BASE!$F$5^2)*(B37+B36)/2000*E37*0.1</f>
        <v>5.1535661981145635</v>
      </c>
      <c r="J37">
        <f>1/2*BASE!$F$4*(BASE!$F$5^2)*(B37+B36)/2000*F37*0.1</f>
        <v>4.7143484194628826E-2</v>
      </c>
    </row>
    <row r="38" spans="1:10" x14ac:dyDescent="1.1000000000000001">
      <c r="A38">
        <v>3400</v>
      </c>
      <c r="B38">
        <v>700</v>
      </c>
      <c r="C38">
        <f>4*$M$3*10^3*100*0.001*SQRT(1-4*A38^2/(BASE!$L$13*BASE!$L$13*4))/(PI()*BASE!$L$13*2)</f>
        <v>4.9942271004072767</v>
      </c>
      <c r="D38" s="19">
        <v>0.48995156144327978</v>
      </c>
      <c r="E38">
        <v>0.89925844988513015</v>
      </c>
      <c r="F38">
        <v>8.2321753183419565E-3</v>
      </c>
      <c r="G38">
        <v>-0.1127361273047388</v>
      </c>
      <c r="H38">
        <v>0.36923339281625578</v>
      </c>
      <c r="I38">
        <f>1/2*BASE!$F$4*(BASE!$F$5^2)*(B38+B37)/2000*E38*0.1</f>
        <v>5.1474740670097239</v>
      </c>
      <c r="J38">
        <f>1/2*BASE!$F$4*(BASE!$F$5^2)*(B38+B37)/2000*F38*0.1</f>
        <v>4.7122058148750944E-2</v>
      </c>
    </row>
    <row r="39" spans="1:10" x14ac:dyDescent="1.1000000000000001">
      <c r="A39">
        <v>3500</v>
      </c>
      <c r="B39">
        <v>700</v>
      </c>
      <c r="C39">
        <f>4*$M$3*10^3*100*0.001*SQRT(1-4*A39^2/(BASE!$L$13*BASE!$L$13*4))/(PI()*BASE!$L$13*2)</f>
        <v>4.9781358316669442</v>
      </c>
      <c r="D39" s="19">
        <v>0.50057812415767111</v>
      </c>
      <c r="E39">
        <v>0.89809853865414468</v>
      </c>
      <c r="F39">
        <v>8.2280284703521063E-3</v>
      </c>
      <c r="G39">
        <v>-0.1127422020494171</v>
      </c>
      <c r="H39">
        <v>0.36941007068852211</v>
      </c>
      <c r="I39">
        <f>1/2*BASE!$F$4*(BASE!$F$5^2)*(B39+B38)/2000*E39*0.1</f>
        <v>5.1408345820181802</v>
      </c>
      <c r="J39">
        <f>1/2*BASE!$F$4*(BASE!$F$5^2)*(B39+B38)/2000*F39*0.1</f>
        <v>4.7098321043483472E-2</v>
      </c>
    </row>
    <row r="40" spans="1:10" x14ac:dyDescent="1.1000000000000001">
      <c r="A40">
        <v>3600</v>
      </c>
      <c r="B40">
        <v>700</v>
      </c>
      <c r="C40">
        <f>4*$M$3*10^3*100*0.001*SQRT(1-4*A40^2/(BASE!$L$13*BASE!$L$13*4))/(PI()*BASE!$L$13*2)</f>
        <v>4.9615236713178561</v>
      </c>
      <c r="D40" s="19">
        <v>0.51204395774544209</v>
      </c>
      <c r="E40">
        <v>0.89684876279307768</v>
      </c>
      <c r="F40">
        <v>8.2222955535582211E-3</v>
      </c>
      <c r="G40">
        <v>-0.1127470130526023</v>
      </c>
      <c r="H40">
        <v>0.36960980086269929</v>
      </c>
      <c r="I40">
        <f>1/2*BASE!$F$4*(BASE!$F$5^2)*(B40+B39)/2000*E40*0.1</f>
        <v>5.1336807000221434</v>
      </c>
      <c r="J40">
        <f>1/2*BASE!$F$4*(BASE!$F$5^2)*(B40+B39)/2000*F40*0.1</f>
        <v>4.7065505071024583E-2</v>
      </c>
    </row>
    <row r="41" spans="1:10" x14ac:dyDescent="1.1000000000000001">
      <c r="A41">
        <v>3700</v>
      </c>
      <c r="B41">
        <v>700</v>
      </c>
      <c r="C41">
        <f>4*$M$3*10^3*100*0.001*SQRT(1-4*A41^2/(BASE!$L$13*BASE!$L$13*4))/(PI()*BASE!$L$13*2)</f>
        <v>4.9443853690833723</v>
      </c>
      <c r="D41" s="19">
        <v>0.52521167641237387</v>
      </c>
      <c r="E41">
        <v>0.89541348145838218</v>
      </c>
      <c r="F41">
        <v>8.2157116942247546E-3</v>
      </c>
      <c r="G41">
        <v>-0.1127525381577735</v>
      </c>
      <c r="H41">
        <v>0.36983917718520831</v>
      </c>
      <c r="I41">
        <f>1/2*BASE!$F$4*(BASE!$F$5^2)*(B41+B40)/2000*E41*0.1</f>
        <v>5.1254649602087987</v>
      </c>
      <c r="J41">
        <f>1/2*BASE!$F$4*(BASE!$F$5^2)*(B41+B40)/2000*F41*0.1</f>
        <v>4.7027818191146854E-2</v>
      </c>
    </row>
    <row r="42" spans="1:10" x14ac:dyDescent="1.1000000000000001">
      <c r="A42">
        <v>3800</v>
      </c>
      <c r="B42">
        <v>700</v>
      </c>
      <c r="C42">
        <f>4*$M$3*10^3*100*0.001*SQRT(1-4*A42^2/(BASE!$L$13*BASE!$L$13*4))/(PI()*BASE!$L$13*2)</f>
        <v>4.9267154341813999</v>
      </c>
      <c r="D42" s="19">
        <v>0.54003685908049981</v>
      </c>
      <c r="E42">
        <v>0.89379753654755645</v>
      </c>
      <c r="F42">
        <v>8.208299102890693E-3</v>
      </c>
      <c r="G42">
        <v>-0.1127587587260812</v>
      </c>
      <c r="H42">
        <v>0.37009742585887412</v>
      </c>
      <c r="I42">
        <f>1/2*BASE!$F$4*(BASE!$F$5^2)*(B42+B41)/2000*E42*0.1</f>
        <v>5.1162150782385432</v>
      </c>
      <c r="J42">
        <f>1/2*BASE!$F$4*(BASE!$F$5^2)*(B42+B41)/2000*F42*0.1</f>
        <v>4.6985387539907164E-2</v>
      </c>
    </row>
    <row r="43" spans="1:10" x14ac:dyDescent="1.1000000000000001">
      <c r="A43">
        <v>3900</v>
      </c>
      <c r="B43">
        <v>700</v>
      </c>
      <c r="C43">
        <f>4*$M$3*10^3*100*0.001*SQRT(1-4*A43^2/(BASE!$L$13*BASE!$L$13*4))/(PI()*BASE!$L$13*2)</f>
        <v>4.9085081252081002</v>
      </c>
      <c r="D43" s="19">
        <v>0.55644427969441157</v>
      </c>
      <c r="E43">
        <v>0.89200912770064</v>
      </c>
      <c r="F43">
        <v>8.2000953925837356E-3</v>
      </c>
      <c r="G43">
        <v>-0.11276564319306991</v>
      </c>
      <c r="H43">
        <v>0.37038323647629939</v>
      </c>
      <c r="I43">
        <f>1/2*BASE!$F$4*(BASE!$F$5^2)*(B43+B42)/2000*E43*0.1</f>
        <v>5.1059779899332973</v>
      </c>
      <c r="J43">
        <f>1/2*BASE!$F$4*(BASE!$F$5^2)*(B43+B42)/2000*F43*0.1</f>
        <v>4.6938428419240882E-2</v>
      </c>
    </row>
    <row r="44" spans="1:10" x14ac:dyDescent="1.1000000000000001">
      <c r="A44">
        <v>4000</v>
      </c>
      <c r="B44">
        <v>700</v>
      </c>
      <c r="C44">
        <f>4*$M$3*10^3*100*0.001*SQRT(1-4*A44^2/(BASE!$L$13*BASE!$L$13*4))/(PI()*BASE!$L$13*2)</f>
        <v>4.8897574393321266</v>
      </c>
      <c r="D44" s="19">
        <v>0.57578195071352867</v>
      </c>
      <c r="E44">
        <v>0.88990132155955626</v>
      </c>
      <c r="F44">
        <v>8.1904265570741774E-3</v>
      </c>
      <c r="G44">
        <v>-0.1127737571776446</v>
      </c>
      <c r="H44">
        <v>0.37072009086819901</v>
      </c>
      <c r="I44">
        <f>1/2*BASE!$F$4*(BASE!$F$5^2)*(B44+B43)/2000*E44*0.1</f>
        <v>5.0939126293565922</v>
      </c>
      <c r="J44">
        <f>1/2*BASE!$F$4*(BASE!$F$5^2)*(B44+B43)/2000*F44*0.1</f>
        <v>4.6883082728522062E-2</v>
      </c>
    </row>
    <row r="45" spans="1:10" x14ac:dyDescent="1.1000000000000001">
      <c r="A45">
        <v>4100</v>
      </c>
      <c r="B45">
        <v>700</v>
      </c>
      <c r="C45">
        <f>4*$M$3*10^3*100*0.001*SQRT(1-4*A45^2/(BASE!$L$13*BASE!$L$13*4))/(PI()*BASE!$L$13*2)</f>
        <v>4.8704571007463988</v>
      </c>
      <c r="D45" s="19">
        <v>0.59968087525848657</v>
      </c>
      <c r="E45">
        <v>0.88729633878415592</v>
      </c>
      <c r="F45">
        <v>8.1784770948016994E-3</v>
      </c>
      <c r="G45">
        <v>-0.1127837850400959</v>
      </c>
      <c r="H45">
        <v>0.37113640044791463</v>
      </c>
      <c r="I45">
        <f>1/2*BASE!$F$4*(BASE!$F$5^2)*(B45+B44)/2000*E45*0.1</f>
        <v>5.0790013640989873</v>
      </c>
      <c r="J45">
        <f>1/2*BASE!$F$4*(BASE!$F$5^2)*(B45+B44)/2000*F45*0.1</f>
        <v>4.6814682429175247E-2</v>
      </c>
    </row>
    <row r="46" spans="1:10" x14ac:dyDescent="1.1000000000000001">
      <c r="A46">
        <v>4200</v>
      </c>
      <c r="B46">
        <v>700</v>
      </c>
      <c r="C46">
        <f>4*$M$3*10^3*100*0.001*SQRT(1-4*A46^2/(BASE!$L$13*BASE!$L$13*4))/(PI()*BASE!$L$13*2)</f>
        <v>4.8506005483192887</v>
      </c>
      <c r="D46" s="19">
        <v>0.61274924622777127</v>
      </c>
      <c r="E46">
        <v>0.8858739365620375</v>
      </c>
      <c r="F46">
        <v>8.1724778609517604E-3</v>
      </c>
      <c r="G46">
        <v>-0.1127839189431511</v>
      </c>
      <c r="H46">
        <v>0.37135869665744758</v>
      </c>
      <c r="I46">
        <f>1/2*BASE!$F$4*(BASE!$F$5^2)*(B46+B45)/2000*E46*0.1</f>
        <v>5.0708593460260438</v>
      </c>
      <c r="J46">
        <f>1/2*BASE!$F$4*(BASE!$F$5^2)*(B46+B45)/2000*F46*0.1</f>
        <v>4.6780342022734324E-2</v>
      </c>
    </row>
    <row r="47" spans="1:10" x14ac:dyDescent="1.1000000000000001">
      <c r="A47">
        <v>4300</v>
      </c>
      <c r="B47">
        <v>698.51851851851848</v>
      </c>
      <c r="C47">
        <f>4*$M$3*10^3*100*0.001*SQRT(1-4*A47^2/(BASE!$L$13*BASE!$L$13*4))/(PI()*BASE!$L$13*2)</f>
        <v>4.8301809223813708</v>
      </c>
      <c r="D47" s="19">
        <v>0.59479120371363969</v>
      </c>
      <c r="E47">
        <v>0.88181523599602507</v>
      </c>
      <c r="F47">
        <v>8.1503114478252703E-3</v>
      </c>
      <c r="G47">
        <v>-0.1122279536637933</v>
      </c>
      <c r="H47">
        <v>0.37136379469861341</v>
      </c>
      <c r="I47">
        <f>1/2*BASE!$F$4*(BASE!$F$5^2)*(B47+B46)/2000*E47*0.1</f>
        <v>5.042285404217969</v>
      </c>
      <c r="J47">
        <f>1/2*BASE!$F$4*(BASE!$F$5^2)*(B47+B46)/2000*F47*0.1</f>
        <v>4.6604089808882858E-2</v>
      </c>
    </row>
    <row r="48" spans="1:10" x14ac:dyDescent="1.1000000000000001">
      <c r="A48">
        <v>4400</v>
      </c>
      <c r="B48">
        <v>697.03703703703707</v>
      </c>
      <c r="C48">
        <f>4*$M$3*10^3*100*0.001*SQRT(1-4*A48^2/(BASE!$L$13*BASE!$L$13*4))/(PI()*BASE!$L$13*2)</f>
        <v>4.8091910505776072</v>
      </c>
      <c r="D48" s="19">
        <v>0.5720048319424289</v>
      </c>
      <c r="E48">
        <v>0.87828248715564694</v>
      </c>
      <c r="F48">
        <v>8.1302893518693208E-3</v>
      </c>
      <c r="G48">
        <v>-0.1116718126949736</v>
      </c>
      <c r="H48">
        <v>0.37128586273057512</v>
      </c>
      <c r="I48">
        <f>1/2*BASE!$F$4*(BASE!$F$5^2)*(B48+B47)/2000*E48*0.1</f>
        <v>5.0114448720554226</v>
      </c>
      <c r="J48">
        <f>1/2*BASE!$F$4*(BASE!$F$5^2)*(B48+B47)/2000*F48*0.1</f>
        <v>4.6391107048832314E-2</v>
      </c>
    </row>
    <row r="49" spans="1:10" x14ac:dyDescent="1.1000000000000001">
      <c r="A49">
        <v>4500</v>
      </c>
      <c r="B49">
        <v>695.55555555555554</v>
      </c>
      <c r="C49">
        <f>4*$M$3*10^3*100*0.001*SQRT(1-4*A49^2/(BASE!$L$13*BASE!$L$13*4))/(PI()*BASE!$L$13*2)</f>
        <v>4.7876234327076883</v>
      </c>
      <c r="D49" s="19">
        <v>0.55033873582849702</v>
      </c>
      <c r="E49">
        <v>0.87462839693004057</v>
      </c>
      <c r="F49">
        <v>8.1096480737459422E-3</v>
      </c>
      <c r="G49">
        <v>-0.1111155556030473</v>
      </c>
      <c r="H49">
        <v>0.37122640046209537</v>
      </c>
      <c r="I49">
        <f>1/2*BASE!$F$4*(BASE!$F$5^2)*(B49+B48)/2000*E49*0.1</f>
        <v>4.9799990362137718</v>
      </c>
      <c r="J49">
        <f>1/2*BASE!$F$4*(BASE!$F$5^2)*(B49+B48)/2000*F49*0.1</f>
        <v>4.6175083879100305E-2</v>
      </c>
    </row>
    <row r="50" spans="1:10" x14ac:dyDescent="1.1000000000000001">
      <c r="A50">
        <v>4600</v>
      </c>
      <c r="B50">
        <v>694.07407407407402</v>
      </c>
      <c r="C50">
        <f>4*$M$3*10^3*100*0.001*SQRT(1-4*A50^2/(BASE!$L$13*BASE!$L$13*4))/(PI()*BASE!$L$13*2)</f>
        <v>4.765470224469456</v>
      </c>
      <c r="D50" s="19">
        <v>0.5313065498452505</v>
      </c>
      <c r="E50">
        <v>0.8706886378262616</v>
      </c>
      <c r="F50">
        <v>8.0875909772842713E-3</v>
      </c>
      <c r="G50">
        <v>-0.1105594028654163</v>
      </c>
      <c r="H50">
        <v>0.3712121858308744</v>
      </c>
      <c r="I50">
        <f>1/2*BASE!$F$4*(BASE!$F$5^2)*(B50+B49)/2000*E50*0.1</f>
        <v>4.9470186420732816</v>
      </c>
      <c r="J50">
        <f>1/2*BASE!$F$4*(BASE!$F$5^2)*(B50+B49)/2000*F50*0.1</f>
        <v>4.5951516530611372E-2</v>
      </c>
    </row>
    <row r="51" spans="1:10" x14ac:dyDescent="1.1000000000000001">
      <c r="A51">
        <v>4700</v>
      </c>
      <c r="B51">
        <v>692.59259259259261</v>
      </c>
      <c r="C51">
        <f>4*$M$3*10^3*100*0.001*SQRT(1-4*A51^2/(BASE!$L$13*BASE!$L$13*4))/(PI()*BASE!$L$13*2)</f>
        <v>4.7427232200114089</v>
      </c>
      <c r="D51" s="19">
        <v>0.51534732926540316</v>
      </c>
      <c r="E51">
        <v>0.86641586874375476</v>
      </c>
      <c r="F51">
        <v>8.0638093698053945E-3</v>
      </c>
      <c r="G51">
        <v>-0.1100036231557433</v>
      </c>
      <c r="H51">
        <v>0.37125180466618762</v>
      </c>
      <c r="I51">
        <f>1/2*BASE!$F$4*(BASE!$F$5^2)*(B51+B50)/2000*E51*0.1</f>
        <v>4.9122456660139058</v>
      </c>
      <c r="J51">
        <f>1/2*BASE!$F$4*(BASE!$F$5^2)*(B51+B50)/2000*F51*0.1</f>
        <v>4.5718706290343906E-2</v>
      </c>
    </row>
    <row r="52" spans="1:10" x14ac:dyDescent="1.1000000000000001">
      <c r="A52">
        <v>4800</v>
      </c>
      <c r="B52">
        <v>691.11111111111109</v>
      </c>
      <c r="C52">
        <f>4*$M$3*10^3*100*0.001*SQRT(1-4*A52^2/(BASE!$L$13*BASE!$L$13*4))/(PI()*BASE!$L$13*2)</f>
        <v>4.7193738331904829</v>
      </c>
      <c r="D52" s="19">
        <v>0.50078459396759922</v>
      </c>
      <c r="E52">
        <v>0.86199251937326127</v>
      </c>
      <c r="F52">
        <v>8.0390836283592889E-3</v>
      </c>
      <c r="G52">
        <v>-0.1094482294311256</v>
      </c>
      <c r="H52">
        <v>0.37131666347435882</v>
      </c>
      <c r="I52">
        <f>1/2*BASE!$F$4*(BASE!$F$5^2)*(B52+B51)/2000*E52*0.1</f>
        <v>4.8767243071689048</v>
      </c>
      <c r="J52">
        <f>1/2*BASE!$F$4*(BASE!$F$5^2)*(B52+B51)/2000*F52*0.1</f>
        <v>4.5481130818035551E-2</v>
      </c>
    </row>
    <row r="53" spans="1:10" x14ac:dyDescent="1.1000000000000001">
      <c r="A53">
        <v>4900</v>
      </c>
      <c r="B53">
        <v>689.62962962962968</v>
      </c>
      <c r="C53">
        <f>4*$M$3*10^3*100*0.001*SQRT(1-4*A53^2/(BASE!$L$13*BASE!$L$13*4))/(PI()*BASE!$L$13*2)</f>
        <v>4.6954130774201213</v>
      </c>
      <c r="D53" s="19">
        <v>0.48751623948180828</v>
      </c>
      <c r="E53">
        <v>0.85742985593215193</v>
      </c>
      <c r="F53">
        <v>8.0134270136050737E-3</v>
      </c>
      <c r="G53">
        <v>-0.1088933493236144</v>
      </c>
      <c r="H53">
        <v>0.37140541255990372</v>
      </c>
      <c r="I53">
        <f>1/2*BASE!$F$4*(BASE!$F$5^2)*(B53+B52)/2000*E53*0.1</f>
        <v>4.8405236403431111</v>
      </c>
      <c r="J53">
        <f>1/2*BASE!$F$4*(BASE!$F$5^2)*(B53+B52)/2000*F53*0.1</f>
        <v>4.5238899288560376E-2</v>
      </c>
    </row>
    <row r="54" spans="1:10" x14ac:dyDescent="1.1000000000000001">
      <c r="A54">
        <v>5000</v>
      </c>
      <c r="B54">
        <v>688.14814814814815</v>
      </c>
      <c r="C54">
        <f>4*$M$3*10^3*100*0.001*SQRT(1-4*A54^2/(BASE!$L$13*BASE!$L$13*4))/(PI()*BASE!$L$13*2)</f>
        <v>4.6708315439812171</v>
      </c>
      <c r="D54" s="19">
        <v>0.47571159028728471</v>
      </c>
      <c r="E54">
        <v>0.85270968028711036</v>
      </c>
      <c r="F54">
        <v>7.9867110608803603E-3</v>
      </c>
      <c r="G54">
        <v>-0.10833917123512241</v>
      </c>
      <c r="H54">
        <v>0.37152151240988851</v>
      </c>
      <c r="I54">
        <f>1/2*BASE!$F$4*(BASE!$F$5^2)*(B54+B53)/2000*E54*0.1</f>
        <v>4.8035462136759612</v>
      </c>
      <c r="J54">
        <f>1/2*BASE!$F$4*(BASE!$F$5^2)*(B54+B53)/2000*F54*0.1</f>
        <v>4.4991321856810984E-2</v>
      </c>
    </row>
    <row r="55" spans="1:10" x14ac:dyDescent="1.1000000000000001">
      <c r="A55">
        <v>5100</v>
      </c>
      <c r="B55">
        <v>686.66666666666663</v>
      </c>
      <c r="C55">
        <f>4*$M$3*10^3*100*0.001*SQRT(1-4*A55^2/(BASE!$L$13*BASE!$L$13*4))/(PI()*BASE!$L$13*2)</f>
        <v>4.645619378654394</v>
      </c>
      <c r="D55" s="19">
        <v>0.46515893527425012</v>
      </c>
      <c r="E55">
        <v>0.84785514453399202</v>
      </c>
      <c r="F55">
        <v>7.9590122544122774E-3</v>
      </c>
      <c r="G55">
        <v>-0.10778582129102569</v>
      </c>
      <c r="H55">
        <v>0.37166164012610109</v>
      </c>
      <c r="I55">
        <f>1/2*BASE!$F$4*(BASE!$F$5^2)*(B55+B54)/2000*E55*0.1</f>
        <v>4.7659278933363236</v>
      </c>
      <c r="J55">
        <f>1/2*BASE!$F$4*(BASE!$F$5^2)*(B55+B54)/2000*F55*0.1</f>
        <v>4.4738866952983763E-2</v>
      </c>
    </row>
    <row r="56" spans="1:10" x14ac:dyDescent="1.1000000000000001">
      <c r="A56">
        <v>5200</v>
      </c>
      <c r="B56">
        <v>685.18518518518522</v>
      </c>
      <c r="C56">
        <f>4*$M$3*10^3*100*0.001*SQRT(1-4*A56^2/(BASE!$L$13*BASE!$L$13*4))/(PI()*BASE!$L$13*2)</f>
        <v>4.6197662565162041</v>
      </c>
      <c r="D56" s="19">
        <v>0.45546461949292338</v>
      </c>
      <c r="E56">
        <v>0.84290908579470292</v>
      </c>
      <c r="F56">
        <v>7.9305188239826522E-3</v>
      </c>
      <c r="G56">
        <v>-0.1072333546450636</v>
      </c>
      <c r="H56">
        <v>0.37181908351140019</v>
      </c>
      <c r="I56">
        <f>1/2*BASE!$F$4*(BASE!$F$5^2)*(B56+B55)/2000*E56*0.1</f>
        <v>4.7279138377527437</v>
      </c>
      <c r="J56">
        <f>1/2*BASE!$F$4*(BASE!$F$5^2)*(B56+B55)/2000*F56*0.1</f>
        <v>4.4482626086674248E-2</v>
      </c>
    </row>
    <row r="57" spans="1:10" x14ac:dyDescent="1.1000000000000001">
      <c r="A57">
        <v>5300</v>
      </c>
      <c r="B57">
        <v>683.7037037037037</v>
      </c>
      <c r="C57">
        <f>4*$M$3*10^3*100*0.001*SQRT(1-4*A57^2/(BASE!$L$13*BASE!$L$13*4))/(PI()*BASE!$L$13*2)</f>
        <v>4.5932613547238361</v>
      </c>
      <c r="D57" s="19">
        <v>0.44659403369675421</v>
      </c>
      <c r="E57">
        <v>0.83787536768992621</v>
      </c>
      <c r="F57">
        <v>7.901230097006804E-3</v>
      </c>
      <c r="G57">
        <v>-0.1066818982490715</v>
      </c>
      <c r="H57">
        <v>0.37199349802148152</v>
      </c>
      <c r="I57">
        <f>1/2*BASE!$F$4*(BASE!$F$5^2)*(B57+B56)/2000*E57*0.1</f>
        <v>4.6895289976196288</v>
      </c>
      <c r="J57">
        <f>1/2*BASE!$F$4*(BASE!$F$5^2)*(B57+B56)/2000*F57*0.1</f>
        <v>4.422262437304475E-2</v>
      </c>
    </row>
    <row r="58" spans="1:10" x14ac:dyDescent="1.1000000000000001">
      <c r="A58">
        <v>5400</v>
      </c>
      <c r="B58">
        <v>682.22222222222217</v>
      </c>
      <c r="C58">
        <f>4*$M$3*10^3*100*0.001*SQRT(1-4*A58^2/(BASE!$L$13*BASE!$L$13*4))/(PI()*BASE!$L$13*2)</f>
        <v>4.5660933230925504</v>
      </c>
      <c r="D58" s="19">
        <v>0.43879138557290492</v>
      </c>
      <c r="E58">
        <v>0.83272764908929509</v>
      </c>
      <c r="F58">
        <v>7.8709857362415005E-3</v>
      </c>
      <c r="G58">
        <v>-0.1061316866058875</v>
      </c>
      <c r="H58">
        <v>0.37218963537393829</v>
      </c>
      <c r="I58">
        <f>1/2*BASE!$F$4*(BASE!$F$5^2)*(B58+B57)/2000*E58*0.1</f>
        <v>4.6506294484754465</v>
      </c>
      <c r="J58">
        <f>1/2*BASE!$F$4*(BASE!$F$5^2)*(B58+B57)/2000*F58*0.1</f>
        <v>4.3957995262349801E-2</v>
      </c>
    </row>
    <row r="59" spans="1:10" x14ac:dyDescent="1.1000000000000001">
      <c r="A59">
        <v>5500</v>
      </c>
      <c r="B59">
        <v>680.74074074074076</v>
      </c>
      <c r="C59">
        <f>4*$M$3*10^3*100*0.001*SQRT(1-4*A59^2/(BASE!$L$13*BASE!$L$13*4))/(PI()*BASE!$L$13*2)</f>
        <v>4.53825025224684</v>
      </c>
      <c r="D59" s="19">
        <v>0.431761010459148</v>
      </c>
      <c r="E59">
        <v>0.82749808167596672</v>
      </c>
      <c r="F59">
        <v>7.8399355014357932E-3</v>
      </c>
      <c r="G59">
        <v>-0.1055827778475546</v>
      </c>
      <c r="H59">
        <v>0.37240239817755771</v>
      </c>
      <c r="I59">
        <f>1/2*BASE!$F$4*(BASE!$F$5^2)*(B59+B58)/2000*E59*0.1</f>
        <v>4.6113985052020832</v>
      </c>
      <c r="J59">
        <f>1/2*BASE!$F$4*(BASE!$F$5^2)*(B59+B58)/2000*F59*0.1</f>
        <v>4.3689608051996245E-2</v>
      </c>
    </row>
    <row r="60" spans="1:10" x14ac:dyDescent="1.1000000000000001">
      <c r="A60">
        <v>5600</v>
      </c>
      <c r="B60">
        <v>679.25925925925924</v>
      </c>
      <c r="C60">
        <f>4*$M$3*10^3*100*0.001*SQRT(1-4*A60^2/(BASE!$L$13*BASE!$L$13*4))/(PI()*BASE!$L$13*2)</f>
        <v>4.5097196390999592</v>
      </c>
      <c r="D60" s="19">
        <v>0.42540143970723843</v>
      </c>
      <c r="E60">
        <v>0.82219774874402374</v>
      </c>
      <c r="F60">
        <v>7.8081245971293456E-3</v>
      </c>
      <c r="G60">
        <v>-0.1050352786004814</v>
      </c>
      <c r="H60">
        <v>0.37263016104953678</v>
      </c>
      <c r="I60">
        <f>1/2*BASE!$F$4*(BASE!$F$5^2)*(B60+B59)/2000*E60*0.1</f>
        <v>4.5719007720907561</v>
      </c>
      <c r="J60">
        <f>1/2*BASE!$F$4*(BASE!$F$5^2)*(B60+B59)/2000*F60*0.1</f>
        <v>4.3417743394126462E-2</v>
      </c>
    </row>
    <row r="61" spans="1:10" x14ac:dyDescent="1.1000000000000001">
      <c r="A61">
        <v>5700</v>
      </c>
      <c r="B61">
        <v>677.77777777777783</v>
      </c>
      <c r="C61">
        <f>4*$M$3*10^3*100*0.001*SQRT(1-4*A61^2/(BASE!$L$13*BASE!$L$13*4))/(PI()*BASE!$L$13*2)</f>
        <v>4.4804883493863059</v>
      </c>
      <c r="D61" s="19">
        <v>0.41970210186593038</v>
      </c>
      <c r="E61">
        <v>0.81682788264366202</v>
      </c>
      <c r="F61">
        <v>7.7755473662006556E-3</v>
      </c>
      <c r="G61">
        <v>-0.104489330735296</v>
      </c>
      <c r="H61">
        <v>0.37287295025757322</v>
      </c>
      <c r="I61">
        <f>1/2*BASE!$F$4*(BASE!$F$5^2)*(B61+B60)/2000*E61*0.1</f>
        <v>4.5321456586809914</v>
      </c>
      <c r="J61">
        <f>1/2*BASE!$F$4*(BASE!$F$5^2)*(B61+B60)/2000*F61*0.1</f>
        <v>4.3142397545907464E-2</v>
      </c>
    </row>
    <row r="62" spans="1:10" x14ac:dyDescent="1.1000000000000001">
      <c r="A62">
        <v>5800</v>
      </c>
      <c r="B62">
        <v>676.2962962962963</v>
      </c>
      <c r="C62">
        <f>4*$M$3*10^3*100*0.001*SQRT(1-4*A62^2/(BASE!$L$13*BASE!$L$13*4))/(PI()*BASE!$L$13*2)</f>
        <v>4.450542576936682</v>
      </c>
      <c r="D62" s="19">
        <v>0.41491438053768559</v>
      </c>
      <c r="E62">
        <v>0.8113475501626205</v>
      </c>
      <c r="F62">
        <v>7.7430840856514893E-3</v>
      </c>
      <c r="G62">
        <v>-0.10393902574590801</v>
      </c>
      <c r="H62">
        <v>0.37313363025346202</v>
      </c>
      <c r="I62">
        <f>1/2*BASE!$F$4*(BASE!$F$5^2)*(B62+B61)/2000*E62*0.1</f>
        <v>4.4919090712199896</v>
      </c>
      <c r="J62">
        <f>1/2*BASE!$F$4*(BASE!$F$5^2)*(B62+B61)/2000*F62*0.1</f>
        <v>4.286847188555111E-2</v>
      </c>
    </row>
    <row r="63" spans="1:10" x14ac:dyDescent="1.1000000000000001">
      <c r="A63">
        <v>5900</v>
      </c>
      <c r="B63">
        <v>674.81481481481478</v>
      </c>
      <c r="C63">
        <f>4*$M$3*10^3*100*0.001*SQRT(1-4*A63^2/(BASE!$L$13*BASE!$L$13*4))/(PI()*BASE!$L$13*2)</f>
        <v>4.4198677993468536</v>
      </c>
      <c r="D63" s="19">
        <v>0.41080901863043989</v>
      </c>
      <c r="E63">
        <v>0.80579106336765027</v>
      </c>
      <c r="F63">
        <v>7.7101701380764094E-3</v>
      </c>
      <c r="G63">
        <v>-0.10338760838363301</v>
      </c>
      <c r="H63">
        <v>0.37340775943535343</v>
      </c>
      <c r="I63">
        <f>1/2*BASE!$F$4*(BASE!$F$5^2)*(B63+B62)/2000*E63*0.1</f>
        <v>4.4513845726132848</v>
      </c>
      <c r="J63">
        <f>1/2*BASE!$F$4*(BASE!$F$5^2)*(B63+B62)/2000*F63*0.1</f>
        <v>4.2592843188678668E-2</v>
      </c>
    </row>
    <row r="64" spans="1:10" x14ac:dyDescent="1.1000000000000001">
      <c r="A64">
        <v>6000</v>
      </c>
      <c r="B64">
        <v>673.33333333333337</v>
      </c>
      <c r="C64">
        <f>4*$M$3*10^3*100*0.001*SQRT(1-4*A64^2/(BASE!$L$13*BASE!$L$13*4))/(PI()*BASE!$L$13*2)</f>
        <v>4.3884487296443835</v>
      </c>
      <c r="D64" s="19">
        <v>0.40734670250380922</v>
      </c>
      <c r="E64">
        <v>0.80016576996656497</v>
      </c>
      <c r="F64">
        <v>7.6765911559578074E-3</v>
      </c>
      <c r="G64">
        <v>-0.1028363543698937</v>
      </c>
      <c r="H64">
        <v>0.37369495977971362</v>
      </c>
      <c r="I64">
        <f>1/2*BASE!$F$4*(BASE!$F$5^2)*(B64+B63)/2000*E64*0.1</f>
        <v>4.4106154320894753</v>
      </c>
      <c r="J64">
        <f>1/2*BASE!$F$4*(BASE!$F$5^2)*(B64+B63)/2000*F64*0.1</f>
        <v>4.2314346213190135E-2</v>
      </c>
    </row>
    <row r="65" spans="1:10" x14ac:dyDescent="1.1000000000000001">
      <c r="A65">
        <v>6100</v>
      </c>
      <c r="B65">
        <v>671.85185185185185</v>
      </c>
      <c r="C65">
        <f>4*$M$3*10^3*100*0.001*SQRT(1-4*A65^2/(BASE!$L$13*BASE!$L$13*4))/(PI()*BASE!$L$13*2)</f>
        <v>4.3562692635061966</v>
      </c>
      <c r="D65" s="19">
        <v>0.40470601079072571</v>
      </c>
      <c r="E65">
        <v>0.79445212455311731</v>
      </c>
      <c r="F65">
        <v>7.6422461719073643E-3</v>
      </c>
      <c r="G65">
        <v>-0.10228526370469</v>
      </c>
      <c r="H65">
        <v>0.37399864281791168</v>
      </c>
      <c r="I65">
        <f>1/2*BASE!$F$4*(BASE!$F$5^2)*(B65+B64)/2000*E65*0.1</f>
        <v>4.3694966503553543</v>
      </c>
      <c r="J65">
        <f>1/2*BASE!$F$4*(BASE!$F$5^2)*(B65+B64)/2000*F65*0.1</f>
        <v>4.2032449806996025E-2</v>
      </c>
    </row>
    <row r="66" spans="1:10" x14ac:dyDescent="1.1000000000000001">
      <c r="A66">
        <v>6200</v>
      </c>
      <c r="B66">
        <v>670.37037037037032</v>
      </c>
      <c r="C66">
        <f>4*$M$3*10^3*100*0.001*SQRT(1-4*A66^2/(BASE!$L$13*BASE!$L$13*4))/(PI()*BASE!$L$13*2)</f>
        <v>4.3233124215186498</v>
      </c>
      <c r="D66" s="19">
        <v>0.40413860853849859</v>
      </c>
      <c r="E66">
        <v>0.78851167915483433</v>
      </c>
      <c r="F66">
        <v>7.6072525464558807E-3</v>
      </c>
      <c r="G66">
        <v>-0.10173434571513471</v>
      </c>
      <c r="H66">
        <v>0.37434409665002483</v>
      </c>
      <c r="I66">
        <f>1/2*BASE!$F$4*(BASE!$F$5^2)*(B66+B65)/2000*E66*0.1</f>
        <v>4.3272716501012622</v>
      </c>
      <c r="J66">
        <f>1/2*BASE!$F$4*(BASE!$F$5^2)*(B66+B65)/2000*F66*0.1</f>
        <v>4.1747825872056832E-2</v>
      </c>
    </row>
    <row r="67" spans="1:10" x14ac:dyDescent="1.1000000000000001">
      <c r="A67">
        <v>6300</v>
      </c>
      <c r="B67">
        <v>668.88888888888891</v>
      </c>
      <c r="C67">
        <f>4*$M$3*10^3*100*0.001*SQRT(1-4*A67^2/(BASE!$L$13*BASE!$L$13*4))/(PI()*BASE!$L$13*2)</f>
        <v>4.2895602859014934</v>
      </c>
      <c r="D67" s="19">
        <v>0.40348149664515942</v>
      </c>
      <c r="E67">
        <v>0.78258411325336286</v>
      </c>
      <c r="F67">
        <v>7.5718204996594214E-3</v>
      </c>
      <c r="G67">
        <v>-0.10118420717472661</v>
      </c>
      <c r="H67">
        <v>0.37468980800266932</v>
      </c>
      <c r="I67">
        <f>1/2*BASE!$F$4*(BASE!$F$5^2)*(B67+B66)/2000*E67*0.1</f>
        <v>4.2852611070068773</v>
      </c>
      <c r="J67">
        <f>1/2*BASE!$F$4*(BASE!$F$5^2)*(B67+B66)/2000*F67*0.1</f>
        <v>4.1461649101894121E-2</v>
      </c>
    </row>
    <row r="68" spans="1:10" x14ac:dyDescent="1.1000000000000001">
      <c r="A68">
        <v>6400</v>
      </c>
      <c r="B68">
        <v>667.40740740740739</v>
      </c>
      <c r="C68">
        <f>4*$M$3*10^3*100*0.001*SQRT(1-4*A68^2/(BASE!$L$13*BASE!$L$13*4))/(PI()*BASE!$L$13*2)</f>
        <v>4.2549939310351963</v>
      </c>
      <c r="D68" s="19">
        <v>0.40356854847443491</v>
      </c>
      <c r="E68">
        <v>0.77657579222619455</v>
      </c>
      <c r="F68">
        <v>7.5347098932616926E-3</v>
      </c>
      <c r="G68">
        <v>-0.1006341856972376</v>
      </c>
      <c r="H68">
        <v>0.37506825552280559</v>
      </c>
      <c r="I68">
        <f>1/2*BASE!$F$4*(BASE!$F$5^2)*(B68+B67)/2000*E68*0.1</f>
        <v>4.2429529644135631</v>
      </c>
      <c r="J68">
        <f>1/2*BASE!$F$4*(BASE!$F$5^2)*(B68+B67)/2000*F68*0.1</f>
        <v>4.1167159725601019E-2</v>
      </c>
    </row>
    <row r="69" spans="1:10" x14ac:dyDescent="1.1000000000000001">
      <c r="A69">
        <v>6500</v>
      </c>
      <c r="B69">
        <v>665.92592592592587</v>
      </c>
      <c r="C69">
        <f>4*$M$3*10^3*100*0.001*SQRT(1-4*A69^2/(BASE!$L$13*BASE!$L$13*4))/(PI()*BASE!$L$13*2)</f>
        <v>4.219593347035544</v>
      </c>
      <c r="D69" s="19">
        <v>0.40472808545890082</v>
      </c>
      <c r="E69">
        <v>0.77045198728854691</v>
      </c>
      <c r="F69">
        <v>7.4958943957737596E-3</v>
      </c>
      <c r="G69">
        <v>-0.10008383234385861</v>
      </c>
      <c r="H69">
        <v>0.37548337825417638</v>
      </c>
      <c r="I69">
        <f>1/2*BASE!$F$4*(BASE!$F$5^2)*(B69+B68)/2000*E69*0.1</f>
        <v>4.2001608314055572</v>
      </c>
      <c r="J69">
        <f>1/2*BASE!$F$4*(BASE!$F$5^2)*(B69+B68)/2000*F69*0.1</f>
        <v>4.0864275200694765E-2</v>
      </c>
    </row>
    <row r="70" spans="1:10" x14ac:dyDescent="1.1000000000000001">
      <c r="A70">
        <v>6600</v>
      </c>
      <c r="B70">
        <v>664.44444444444446</v>
      </c>
      <c r="C70">
        <f>4*$M$3*10^3*100*0.001*SQRT(1-4*A70^2/(BASE!$L$13*BASE!$L$13*4))/(PI()*BASE!$L$13*2)</f>
        <v>4.1833373555074553</v>
      </c>
      <c r="D70" s="19">
        <v>0.40710471499699408</v>
      </c>
      <c r="E70">
        <v>0.76419891208550228</v>
      </c>
      <c r="F70">
        <v>7.4557867698299383E-3</v>
      </c>
      <c r="G70">
        <v>-9.9533478990479637E-2</v>
      </c>
      <c r="H70">
        <v>0.37592699142903607</v>
      </c>
      <c r="I70">
        <f>1/2*BASE!$F$4*(BASE!$F$5^2)*(B70+B69)/2000*E70*0.1</f>
        <v>4.1568139150483967</v>
      </c>
      <c r="J70">
        <f>1/2*BASE!$F$4*(BASE!$F$5^2)*(B70+B69)/2000*F70*0.1</f>
        <v>4.0555302686684877E-2</v>
      </c>
    </row>
    <row r="71" spans="1:10" x14ac:dyDescent="1.1000000000000001">
      <c r="A71">
        <v>6700</v>
      </c>
      <c r="B71">
        <v>662.96296296296293</v>
      </c>
      <c r="C71">
        <f>4*$M$3*10^3*100*0.001*SQRT(1-4*A71^2/(BASE!$L$13*BASE!$L$13*4))/(PI()*BASE!$L$13*2)</f>
        <v>4.1462035164785158</v>
      </c>
      <c r="D71" s="19">
        <v>0.4113626871299757</v>
      </c>
      <c r="E71">
        <v>0.75774413778907457</v>
      </c>
      <c r="F71">
        <v>7.4139229137434584E-3</v>
      </c>
      <c r="G71">
        <v>-9.8983125637100655E-2</v>
      </c>
      <c r="H71">
        <v>0.37641303556483041</v>
      </c>
      <c r="I71">
        <f>1/2*BASE!$F$4*(BASE!$F$5^2)*(B71+B70)/2000*E71*0.1</f>
        <v>4.1125238187012654</v>
      </c>
      <c r="J71">
        <f>1/2*BASE!$F$4*(BASE!$F$5^2)*(B71+B70)/2000*F71*0.1</f>
        <v>4.023777031353587E-2</v>
      </c>
    </row>
    <row r="72" spans="1:10" x14ac:dyDescent="1.1000000000000001">
      <c r="A72">
        <v>6800</v>
      </c>
      <c r="B72">
        <v>661.48148148148152</v>
      </c>
      <c r="C72">
        <f>4*$M$3*10^3*100*0.001*SQRT(1-4*A72^2/(BASE!$L$13*BASE!$L$13*4))/(PI()*BASE!$L$13*2)</f>
        <v>4.1081680253576192</v>
      </c>
      <c r="D72" s="19">
        <v>0.41805648220477709</v>
      </c>
      <c r="E72">
        <v>0.75102735872477622</v>
      </c>
      <c r="F72">
        <v>7.3698913286079056E-3</v>
      </c>
      <c r="G72">
        <v>-9.8432772283721645E-2</v>
      </c>
      <c r="H72">
        <v>0.37695338837548031</v>
      </c>
      <c r="I72">
        <f>1/2*BASE!$F$4*(BASE!$F$5^2)*(B72+B71)/2000*E72*0.1</f>
        <v>4.06697130492753</v>
      </c>
      <c r="J72">
        <f>1/2*BASE!$F$4*(BASE!$F$5^2)*(B72+B71)/2000*F72*0.1</f>
        <v>3.9909513555905794E-2</v>
      </c>
    </row>
    <row r="73" spans="1:10" x14ac:dyDescent="1.1000000000000001">
      <c r="A73">
        <v>6900</v>
      </c>
      <c r="B73">
        <v>660</v>
      </c>
      <c r="C73">
        <f>4*$M$3*10^3*100*0.001*SQRT(1-4*A73^2/(BASE!$L$13*BASE!$L$13*4))/(PI()*BASE!$L$13*2)</f>
        <v>4.069205598580619</v>
      </c>
      <c r="D73" s="19">
        <v>0.41783551446563122</v>
      </c>
      <c r="E73">
        <v>0.74506802357495949</v>
      </c>
      <c r="F73">
        <v>7.3314932584982624E-3</v>
      </c>
      <c r="G73">
        <v>-9.790025444480828E-2</v>
      </c>
      <c r="H73">
        <v>0.37735696473412089</v>
      </c>
      <c r="I73">
        <f>1/2*BASE!$F$4*(BASE!$F$5^2)*(B73+B72)/2000*E73*0.1</f>
        <v>4.0256740750699294</v>
      </c>
      <c r="J73">
        <f>1/2*BASE!$F$4*(BASE!$F$5^2)*(B73+B72)/2000*F73*0.1</f>
        <v>3.9612762067914815E-2</v>
      </c>
    </row>
    <row r="74" spans="1:10" x14ac:dyDescent="1.1000000000000001">
      <c r="A74">
        <v>7000</v>
      </c>
      <c r="B74">
        <v>655.20000000000005</v>
      </c>
      <c r="C74">
        <f>4*$M$3*10^3*100*0.001*SQRT(1-4*A74^2/(BASE!$L$13*BASE!$L$13*4))/(PI()*BASE!$L$13*2)</f>
        <v>4.0292893463868031</v>
      </c>
      <c r="D74" s="19">
        <v>0.40786896549040791</v>
      </c>
      <c r="E74">
        <v>0.74014974330093131</v>
      </c>
      <c r="F74">
        <v>7.3135616067525836E-3</v>
      </c>
      <c r="G74">
        <v>-9.7876776720876038E-2</v>
      </c>
      <c r="H74">
        <v>0.37822211683343171</v>
      </c>
      <c r="I74">
        <f>1/2*BASE!$F$4*(BASE!$F$5^2)*(B74+B73)/2000*E74*0.1</f>
        <v>3.9800909589540154</v>
      </c>
      <c r="J74">
        <f>1/2*BASE!$F$4*(BASE!$F$5^2)*(B74+B73)/2000*F74*0.1</f>
        <v>3.9328042321503748E-2</v>
      </c>
    </row>
    <row r="75" spans="1:10" x14ac:dyDescent="1.1000000000000001">
      <c r="A75">
        <v>7100</v>
      </c>
      <c r="B75">
        <v>650.4</v>
      </c>
      <c r="C75">
        <f>4*$M$3*10^3*100*0.001*SQRT(1-4*A75^2/(BASE!$L$13*BASE!$L$13*4))/(PI()*BASE!$L$13*2)</f>
        <v>3.9883906309098842</v>
      </c>
      <c r="D75" s="19">
        <v>0.39125305001472538</v>
      </c>
      <c r="E75">
        <v>0.73598850098912594</v>
      </c>
      <c r="F75">
        <v>7.2983101100623773E-3</v>
      </c>
      <c r="G75">
        <v>-9.785099797403142E-2</v>
      </c>
      <c r="H75">
        <v>0.37895359614689728</v>
      </c>
      <c r="I75">
        <f>1/2*BASE!$F$4*(BASE!$F$5^2)*(B75+B74)/2000*E75*0.1</f>
        <v>3.9288258147382806</v>
      </c>
      <c r="J75">
        <f>1/2*BASE!$F$4*(BASE!$F$5^2)*(B75+B74)/2000*F75*0.1</f>
        <v>3.8959561359780126E-2</v>
      </c>
    </row>
    <row r="76" spans="1:10" x14ac:dyDescent="1.1000000000000001">
      <c r="A76">
        <v>7200</v>
      </c>
      <c r="B76">
        <v>645.6</v>
      </c>
      <c r="C76">
        <f>4*$M$3*10^3*100*0.001*SQRT(1-4*A76^2/(BASE!$L$13*BASE!$L$13*4))/(PI()*BASE!$L$13*2)</f>
        <v>3.9464789074554187</v>
      </c>
      <c r="D76" s="19">
        <v>0.37730425692628888</v>
      </c>
      <c r="E76">
        <v>0.73155602574183254</v>
      </c>
      <c r="F76">
        <v>7.2804396819434892E-3</v>
      </c>
      <c r="G76">
        <v>-9.781572340321168E-2</v>
      </c>
      <c r="H76">
        <v>0.37974870083965179</v>
      </c>
      <c r="I76">
        <f>1/2*BASE!$F$4*(BASE!$F$5^2)*(B76+B75)/2000*E76*0.1</f>
        <v>3.8764500988335238</v>
      </c>
      <c r="J76">
        <f>1/2*BASE!$F$4*(BASE!$F$5^2)*(B76+B75)/2000*F76*0.1</f>
        <v>3.8578400192934827E-2</v>
      </c>
    </row>
    <row r="77" spans="1:10" x14ac:dyDescent="1.1000000000000001">
      <c r="A77">
        <v>7300</v>
      </c>
      <c r="B77">
        <v>640.79999999999995</v>
      </c>
      <c r="C77">
        <f>4*$M$3*10^3*100*0.001*SQRT(1-4*A77^2/(BASE!$L$13*BASE!$L$13*4))/(PI()*BASE!$L$13*2)</f>
        <v>3.9035215464614117</v>
      </c>
      <c r="D77" s="19">
        <v>0.36560423994750568</v>
      </c>
      <c r="E77">
        <v>0.72690443262455595</v>
      </c>
      <c r="F77">
        <v>7.2603962883687374E-3</v>
      </c>
      <c r="G77">
        <v>-9.7779684365484801E-2</v>
      </c>
      <c r="H77">
        <v>0.38060069944836628</v>
      </c>
      <c r="I77">
        <f>1/2*BASE!$F$4*(BASE!$F$5^2)*(B77+B76)/2000*E77*0.1</f>
        <v>3.8232698573900414</v>
      </c>
      <c r="J77">
        <f>1/2*BASE!$F$4*(BASE!$F$5^2)*(B77+B76)/2000*F77*0.1</f>
        <v>3.8187212838697727E-2</v>
      </c>
    </row>
    <row r="78" spans="1:10" x14ac:dyDescent="1.1000000000000001">
      <c r="A78">
        <v>7400</v>
      </c>
      <c r="B78">
        <v>636</v>
      </c>
      <c r="C78">
        <f>4*$M$3*10^3*100*0.001*SQRT(1-4*A78^2/(BASE!$L$13*BASE!$L$13*4))/(PI()*BASE!$L$13*2)</f>
        <v>3.859483633185103</v>
      </c>
      <c r="D78" s="19">
        <v>0.35555061854203301</v>
      </c>
      <c r="E78">
        <v>0.72210653587004192</v>
      </c>
      <c r="F78">
        <v>7.2386050743244394E-3</v>
      </c>
      <c r="G78">
        <v>-9.775373767586433E-2</v>
      </c>
      <c r="H78">
        <v>0.38149718199766253</v>
      </c>
      <c r="I78">
        <f>1/2*BASE!$F$4*(BASE!$F$5^2)*(B78+B77)/2000*E78*0.1</f>
        <v>3.7696910123507608</v>
      </c>
      <c r="J78">
        <f>1/2*BASE!$F$4*(BASE!$F$5^2)*(B78+B77)/2000*F78*0.1</f>
        <v>3.7788474601964231E-2</v>
      </c>
    </row>
    <row r="79" spans="1:10" x14ac:dyDescent="1.1000000000000001">
      <c r="A79">
        <v>7500</v>
      </c>
      <c r="B79">
        <v>631.20000000000005</v>
      </c>
      <c r="C79">
        <f>4*$M$3*10^3*100*0.001*SQRT(1-4*A79^2/(BASE!$L$13*BASE!$L$13*4))/(PI()*BASE!$L$13*2)</f>
        <v>3.8143277416074373</v>
      </c>
      <c r="D79" s="19">
        <v>0.34692535641880479</v>
      </c>
      <c r="E79">
        <v>0.71719498632575551</v>
      </c>
      <c r="F79">
        <v>7.2161767137021307E-3</v>
      </c>
      <c r="G79">
        <v>-9.7729646487568655E-2</v>
      </c>
      <c r="H79">
        <v>0.38248039964143621</v>
      </c>
      <c r="I79">
        <f>1/2*BASE!$F$4*(BASE!$F$5^2)*(B79+B78)/2000*E79*0.1</f>
        <v>3.715899960664772</v>
      </c>
      <c r="J79">
        <f>1/2*BASE!$F$4*(BASE!$F$5^2)*(B79+B78)/2000*F79*0.1</f>
        <v>3.7388145870858612E-2</v>
      </c>
    </row>
    <row r="80" spans="1:10" x14ac:dyDescent="1.1000000000000001">
      <c r="A80">
        <v>7600</v>
      </c>
      <c r="B80">
        <v>626.4</v>
      </c>
      <c r="C80">
        <f>4*$M$3*10^3*100*0.001*SQRT(1-4*A80^2/(BASE!$L$13*BASE!$L$13*4))/(PI()*BASE!$L$13*2)</f>
        <v>3.7680136783729585</v>
      </c>
      <c r="D80" s="19">
        <v>0.33963848642320549</v>
      </c>
      <c r="E80">
        <v>0.71216390335880864</v>
      </c>
      <c r="F80">
        <v>7.192918418265192E-3</v>
      </c>
      <c r="G80">
        <v>-9.7711524493331425E-2</v>
      </c>
      <c r="H80">
        <v>0.38350985554044831</v>
      </c>
      <c r="I80">
        <f>1/2*BASE!$F$4*(BASE!$F$5^2)*(B80+B79)/2000*E80*0.1</f>
        <v>3.6618798476925649</v>
      </c>
      <c r="J80">
        <f>1/2*BASE!$F$4*(BASE!$F$5^2)*(B80+B79)/2000*F80*0.1</f>
        <v>3.6985310372676015E-2</v>
      </c>
    </row>
    <row r="81" spans="1:10" x14ac:dyDescent="1.1000000000000001">
      <c r="A81">
        <v>7700</v>
      </c>
      <c r="B81">
        <v>621.6</v>
      </c>
      <c r="C81">
        <f>4*$M$3*10^3*100*0.001*SQRT(1-4*A81^2/(BASE!$L$13*BASE!$L$13*4))/(PI()*BASE!$L$13*2)</f>
        <v>3.7204981917550435</v>
      </c>
      <c r="D81" s="19">
        <v>0.33365605853948188</v>
      </c>
      <c r="E81">
        <v>0.70699608424996474</v>
      </c>
      <c r="F81">
        <v>7.1699929507179896E-3</v>
      </c>
      <c r="G81">
        <v>-9.7701688744575965E-2</v>
      </c>
      <c r="H81">
        <v>0.38457818348838851</v>
      </c>
      <c r="I81">
        <f>1/2*BASE!$F$4*(BASE!$F$5^2)*(B81+B80)/2000*E81*0.1</f>
        <v>3.6075569693836509</v>
      </c>
      <c r="J81">
        <f>1/2*BASE!$F$4*(BASE!$F$5^2)*(B81+B80)/2000*F81*0.1</f>
        <v>3.6585999011911251E-2</v>
      </c>
    </row>
    <row r="82" spans="1:10" x14ac:dyDescent="1.1000000000000001">
      <c r="A82">
        <v>7800</v>
      </c>
      <c r="B82">
        <v>616.79999999999995</v>
      </c>
      <c r="C82">
        <f>4*$M$3*10^3*100*0.001*SQRT(1-4*A82^2/(BASE!$L$13*BASE!$L$13*4))/(PI()*BASE!$L$13*2)</f>
        <v>3.6717346396133523</v>
      </c>
      <c r="D82" s="19">
        <v>0.32898795412149312</v>
      </c>
      <c r="E82">
        <v>0.70168075484768799</v>
      </c>
      <c r="F82">
        <v>7.1479099374443592E-3</v>
      </c>
      <c r="G82">
        <v>-9.7699835016360925E-2</v>
      </c>
      <c r="H82">
        <v>0.38568306690655868</v>
      </c>
      <c r="I82">
        <f>1/2*BASE!$F$4*(BASE!$F$5^2)*(B82+B81)/2000*E82*0.1</f>
        <v>3.5528928730293603</v>
      </c>
      <c r="J82">
        <f>1/2*BASE!$F$4*(BASE!$F$5^2)*(B82+B81)/2000*F82*0.1</f>
        <v>3.6192753040967175E-2</v>
      </c>
    </row>
    <row r="83" spans="1:10" x14ac:dyDescent="1.1000000000000001">
      <c r="A83">
        <v>7900</v>
      </c>
      <c r="B83">
        <v>612</v>
      </c>
      <c r="C83">
        <f>4*$M$3*10^3*100*0.001*SQRT(1-4*A83^2/(BASE!$L$13*BASE!$L$13*4))/(PI()*BASE!$L$13*2)</f>
        <v>3.6216726090382414</v>
      </c>
      <c r="D83" s="19">
        <v>0.32575022270542048</v>
      </c>
      <c r="E83">
        <v>0.69622745569512412</v>
      </c>
      <c r="F83">
        <v>7.1250440898435706E-3</v>
      </c>
      <c r="G83">
        <v>-9.7705772689339804E-2</v>
      </c>
      <c r="H83">
        <v>0.38683349223768237</v>
      </c>
      <c r="I83">
        <f>1/2*BASE!$F$4*(BASE!$F$5^2)*(B83+B82)/2000*E83*0.1</f>
        <v>3.4979528616367315</v>
      </c>
      <c r="J83">
        <f>1/2*BASE!$F$4*(BASE!$F$5^2)*(B83+B82)/2000*F83*0.1</f>
        <v>3.5797307560174602E-2</v>
      </c>
    </row>
    <row r="84" spans="1:10" x14ac:dyDescent="1.1000000000000001">
      <c r="A84">
        <v>8000</v>
      </c>
      <c r="B84">
        <v>607.20000000000005</v>
      </c>
      <c r="C84">
        <f>4*$M$3*10^3*100*0.001*SQRT(1-4*A84^2/(BASE!$L$13*BASE!$L$13*4))/(PI()*BASE!$L$13*2)</f>
        <v>3.5702574787844554</v>
      </c>
      <c r="D84" s="19">
        <v>0.32163231599552738</v>
      </c>
      <c r="E84">
        <v>0.69088931766969719</v>
      </c>
      <c r="F84">
        <v>7.1010068987457566E-3</v>
      </c>
      <c r="G84">
        <v>-9.7736041260034476E-2</v>
      </c>
      <c r="H84">
        <v>0.38801247229597768</v>
      </c>
      <c r="I84">
        <f>1/2*BASE!$F$4*(BASE!$F$5^2)*(B84+B83)/2000*E84*0.1</f>
        <v>3.4440150140606756</v>
      </c>
      <c r="J84">
        <f>1/2*BASE!$F$4*(BASE!$F$5^2)*(B84+B83)/2000*F84*0.1</f>
        <v>3.5397818071230935E-2</v>
      </c>
    </row>
    <row r="85" spans="1:10" x14ac:dyDescent="1.1000000000000001">
      <c r="A85">
        <v>8100</v>
      </c>
      <c r="B85">
        <v>602.4</v>
      </c>
      <c r="C85">
        <f>4*$M$3*10^3*100*0.001*SQRT(1-4*A85^2/(BASE!$L$13*BASE!$L$13*4))/(PI()*BASE!$L$13*2)</f>
        <v>3.5174299135891856</v>
      </c>
      <c r="D85" s="19">
        <v>0.31171538397511622</v>
      </c>
      <c r="E85">
        <v>0.6840018842566451</v>
      </c>
      <c r="F85">
        <v>7.1272065654722043E-3</v>
      </c>
      <c r="G85">
        <v>-9.7241412577062758E-2</v>
      </c>
      <c r="H85">
        <v>0.388720215019149</v>
      </c>
      <c r="I85">
        <f>1/2*BASE!$F$4*(BASE!$F$5^2)*(B85+B84)/2000*E85*0.1</f>
        <v>3.3828339502285232</v>
      </c>
      <c r="J85">
        <f>1/2*BASE!$F$4*(BASE!$F$5^2)*(B85+B84)/2000*F85*0.1</f>
        <v>3.5248669477238759E-2</v>
      </c>
    </row>
    <row r="86" spans="1:10" x14ac:dyDescent="1.1000000000000001">
      <c r="A86">
        <v>8200</v>
      </c>
      <c r="B86">
        <v>597.6</v>
      </c>
      <c r="C86">
        <f>4*$M$3*10^3*100*0.001*SQRT(1-4*A86^2/(BASE!$L$13*BASE!$L$13*4))/(PI()*BASE!$L$13*2)</f>
        <v>3.4631252769203895</v>
      </c>
      <c r="D86" s="19">
        <v>0.31002493830013811</v>
      </c>
      <c r="E86">
        <v>0.67824598816320725</v>
      </c>
      <c r="F86">
        <v>7.1144119562075187E-3</v>
      </c>
      <c r="G86">
        <v>-9.7222833005258635E-2</v>
      </c>
      <c r="H86">
        <v>0.38996982303327887</v>
      </c>
      <c r="I86">
        <f>1/2*BASE!$F$4*(BASE!$F$5^2)*(B86+B85)/2000*E86*0.1</f>
        <v>3.3277453397323038</v>
      </c>
      <c r="J86">
        <f>1/2*BASE!$F$4*(BASE!$F$5^2)*(B86+B85)/2000*F86*0.1</f>
        <v>3.4906142675934886E-2</v>
      </c>
    </row>
    <row r="87" spans="1:10" x14ac:dyDescent="1.1000000000000001">
      <c r="A87">
        <v>8300</v>
      </c>
      <c r="B87">
        <v>592.79999999999995</v>
      </c>
      <c r="C87">
        <f>4*$M$3*10^3*100*0.001*SQRT(1-4*A87^2/(BASE!$L$13*BASE!$L$13*4))/(PI()*BASE!$L$13*2)</f>
        <v>3.4072729454381907</v>
      </c>
      <c r="D87" s="19">
        <v>0.31120742139808288</v>
      </c>
      <c r="E87">
        <v>0.67218750190106979</v>
      </c>
      <c r="F87">
        <v>7.1017311443901682E-3</v>
      </c>
      <c r="G87">
        <v>-9.7204724503471604E-2</v>
      </c>
      <c r="H87">
        <v>0.39129846339113711</v>
      </c>
      <c r="I87">
        <f>1/2*BASE!$F$4*(BASE!$F$5^2)*(B87+B86)/2000*E87*0.1</f>
        <v>3.2716358297553381</v>
      </c>
      <c r="J87">
        <f>1/2*BASE!$F$4*(BASE!$F$5^2)*(B87+B86)/2000*F87*0.1</f>
        <v>3.4565174150910941E-2</v>
      </c>
    </row>
    <row r="88" spans="1:10" x14ac:dyDescent="1.1000000000000001">
      <c r="A88">
        <v>8400</v>
      </c>
      <c r="B88">
        <v>588</v>
      </c>
      <c r="C88">
        <f>4*$M$3*10^3*100*0.001*SQRT(1-4*A88^2/(BASE!$L$13*BASE!$L$13*4))/(PI()*BASE!$L$13*2)</f>
        <v>3.3497955042393817</v>
      </c>
      <c r="D88" s="19">
        <v>0.31366796796871832</v>
      </c>
      <c r="E88">
        <v>0.66597600651942734</v>
      </c>
      <c r="F88">
        <v>7.0869380369040251E-3</v>
      </c>
      <c r="G88">
        <v>-9.7183474051758631E-2</v>
      </c>
      <c r="H88">
        <v>0.39268051860982539</v>
      </c>
      <c r="I88">
        <f>1/2*BASE!$F$4*(BASE!$F$5^2)*(B88+B87)/2000*E88*0.1</f>
        <v>3.2152632131908803</v>
      </c>
      <c r="J88">
        <f>1/2*BASE!$F$4*(BASE!$F$5^2)*(B88+B87)/2000*F88*0.1</f>
        <v>3.42150031550063E-2</v>
      </c>
    </row>
    <row r="89" spans="1:10" x14ac:dyDescent="1.1000000000000001">
      <c r="A89">
        <v>8500</v>
      </c>
      <c r="B89">
        <v>583.20000000000005</v>
      </c>
      <c r="C89">
        <f>4*$M$3*10^3*100*0.001*SQRT(1-4*A89^2/(BASE!$L$13*BASE!$L$13*4))/(PI()*BASE!$L$13*2)</f>
        <v>3.2906077964666212</v>
      </c>
      <c r="D89" s="19">
        <v>0.31764309538734947</v>
      </c>
      <c r="E89">
        <v>0.65956976827534375</v>
      </c>
      <c r="F89">
        <v>7.0708372695120142E-3</v>
      </c>
      <c r="G89">
        <v>-9.7154116118420161E-2</v>
      </c>
      <c r="H89">
        <v>0.39411239979786522</v>
      </c>
      <c r="I89">
        <f>1/2*BASE!$F$4*(BASE!$F$5^2)*(B89+B88)/2000*E89*0.1</f>
        <v>3.1584456593181516</v>
      </c>
      <c r="J89">
        <f>1/2*BASE!$F$4*(BASE!$F$5^2)*(B89+B88)/2000*F89*0.1</f>
        <v>3.3859731533832468E-2</v>
      </c>
    </row>
    <row r="90" spans="1:10" x14ac:dyDescent="1.1000000000000001">
      <c r="A90">
        <v>8600</v>
      </c>
      <c r="B90">
        <v>578.4</v>
      </c>
      <c r="C90">
        <f>4*$M$3*10^3*100*0.001*SQRT(1-4*A90^2/(BASE!$L$13*BASE!$L$13*4))/(PI()*BASE!$L$13*2)</f>
        <v>3.2296157936430565</v>
      </c>
      <c r="D90" s="19">
        <v>0.32338379051345317</v>
      </c>
      <c r="E90">
        <v>0.65287267489702461</v>
      </c>
      <c r="F90">
        <v>7.0577136913951297E-3</v>
      </c>
      <c r="G90">
        <v>-9.7101216606042678E-2</v>
      </c>
      <c r="H90">
        <v>0.39562564223868002</v>
      </c>
      <c r="I90">
        <f>1/2*BASE!$F$4*(BASE!$F$5^2)*(B90+B89)/2000*E90*0.1</f>
        <v>3.1007496247491311</v>
      </c>
      <c r="J90">
        <f>1/2*BASE!$F$4*(BASE!$F$5^2)*(B90+B89)/2000*F90*0.1</f>
        <v>3.3519863706398756E-2</v>
      </c>
    </row>
    <row r="91" spans="1:10" x14ac:dyDescent="1.1000000000000001">
      <c r="A91">
        <v>8700</v>
      </c>
      <c r="B91">
        <v>573.6</v>
      </c>
      <c r="C91">
        <f>4*$M$3*10^3*100*0.001*SQRT(1-4*A91^2/(BASE!$L$13*BASE!$L$13*4))/(PI()*BASE!$L$13*2)</f>
        <v>3.1667152434924803</v>
      </c>
      <c r="D91" s="19">
        <v>0.331173733039695</v>
      </c>
      <c r="E91">
        <v>0.64588995712332276</v>
      </c>
      <c r="F91">
        <v>7.044988269373653E-3</v>
      </c>
      <c r="G91">
        <v>-9.703419366704634E-2</v>
      </c>
      <c r="H91">
        <v>0.39720313845013588</v>
      </c>
      <c r="I91">
        <f>1/2*BASE!$F$4*(BASE!$F$5^2)*(B91+B90)/2000*E91*0.1</f>
        <v>3.0422339962424352</v>
      </c>
      <c r="J91">
        <f>1/2*BASE!$F$4*(BASE!$F$5^2)*(B91+B90)/2000*F91*0.1</f>
        <v>3.3182901483209591E-2</v>
      </c>
    </row>
    <row r="92" spans="1:10" x14ac:dyDescent="1.1000000000000001">
      <c r="A92">
        <v>8800</v>
      </c>
      <c r="B92">
        <v>568.79999999999995</v>
      </c>
      <c r="C92">
        <f>4*$M$3*10^3*100*0.001*SQRT(1-4*A92^2/(BASE!$L$13*BASE!$L$13*4))/(PI()*BASE!$L$13*2)</f>
        <v>3.1017900390941713</v>
      </c>
      <c r="D92" s="19">
        <v>0.34137708248315801</v>
      </c>
      <c r="E92">
        <v>0.6380662813678234</v>
      </c>
      <c r="F92">
        <v>7.0359163738572339E-3</v>
      </c>
      <c r="G92">
        <v>-9.6853144983351458E-2</v>
      </c>
      <c r="H92">
        <v>0.39885970220819678</v>
      </c>
      <c r="I92">
        <f>1/2*BASE!$F$4*(BASE!$F$5^2)*(B92+B91)/2000*E92*0.1</f>
        <v>2.9803385040459713</v>
      </c>
      <c r="J92">
        <f>1/2*BASE!$F$4*(BASE!$F$5^2)*(B92+B91)/2000*F92*0.1</f>
        <v>3.2864003462621576E-2</v>
      </c>
    </row>
    <row r="93" spans="1:10" x14ac:dyDescent="1.1000000000000001">
      <c r="A93">
        <v>8900</v>
      </c>
      <c r="B93">
        <v>564</v>
      </c>
      <c r="C93">
        <f>4*$M$3*10^3*100*0.001*SQRT(1-4*A93^2/(BASE!$L$13*BASE!$L$13*4))/(PI()*BASE!$L$13*2)</f>
        <v>3.0347102356431357</v>
      </c>
      <c r="D93" s="19">
        <v>0.35447148854452998</v>
      </c>
      <c r="E93">
        <v>0.62990197714978124</v>
      </c>
      <c r="F93">
        <v>7.0263534323197841E-3</v>
      </c>
      <c r="G93">
        <v>-9.6667800031006751E-2</v>
      </c>
      <c r="H93">
        <v>0.40060094856495221</v>
      </c>
      <c r="I93">
        <f>1/2*BASE!$F$4*(BASE!$F$5^2)*(B93+B92)/2000*E93*0.1</f>
        <v>2.9174795204407271</v>
      </c>
      <c r="J93">
        <f>1/2*BASE!$F$4*(BASE!$F$5^2)*(B93+B92)/2000*F93*0.1</f>
        <v>3.2543543258790199E-2</v>
      </c>
    </row>
    <row r="94" spans="1:10" x14ac:dyDescent="1.1000000000000001">
      <c r="A94">
        <v>9000</v>
      </c>
      <c r="B94">
        <v>559.20000000000005</v>
      </c>
      <c r="C94">
        <f>4*$M$3*10^3*100*0.001*SQRT(1-4*A94^2/(BASE!$L$13*BASE!$L$13*4))/(PI()*BASE!$L$13*2)</f>
        <v>2.9653296168297767</v>
      </c>
      <c r="D94" s="19">
        <v>0.37110742596050339</v>
      </c>
      <c r="E94">
        <v>0.62138754757312864</v>
      </c>
      <c r="F94">
        <v>7.0161582551300748E-3</v>
      </c>
      <c r="G94">
        <v>-9.6491410798886332E-2</v>
      </c>
      <c r="H94">
        <v>0.40244443009604869</v>
      </c>
      <c r="I94">
        <f>1/2*BASE!$F$4*(BASE!$F$5^2)*(B94+B93)/2000*E94*0.1</f>
        <v>2.853653542200917</v>
      </c>
      <c r="J94">
        <f>1/2*BASE!$F$4*(BASE!$F$5^2)*(B94+B93)/2000*F94*0.1</f>
        <v>3.2220930296382982E-2</v>
      </c>
    </row>
    <row r="95" spans="1:10" x14ac:dyDescent="1.1000000000000001">
      <c r="A95">
        <v>9100</v>
      </c>
      <c r="B95">
        <v>554.4</v>
      </c>
      <c r="C95">
        <f>4*$M$3*10^3*100*0.001*SQRT(1-4*A95^2/(BASE!$L$13*BASE!$L$13*4))/(PI()*BASE!$L$13*2)</f>
        <v>2.8934826788864068</v>
      </c>
      <c r="D95" s="19">
        <v>0.39219885604990462</v>
      </c>
      <c r="E95">
        <v>0.61261462931848942</v>
      </c>
      <c r="F95">
        <v>7.0047828564894742E-3</v>
      </c>
      <c r="G95">
        <v>-9.6353393099707432E-2</v>
      </c>
      <c r="H95">
        <v>0.40453524336469882</v>
      </c>
      <c r="I95">
        <f>1/2*BASE!$F$4*(BASE!$F$5^2)*(B95+B94)/2000*E95*0.1</f>
        <v>2.7893190323036823</v>
      </c>
      <c r="J95">
        <f>1/2*BASE!$F$4*(BASE!$F$5^2)*(B95+B94)/2000*F95*0.1</f>
        <v>3.1893743968368124E-2</v>
      </c>
    </row>
    <row r="96" spans="1:10" x14ac:dyDescent="1.1000000000000001">
      <c r="A96">
        <v>9200</v>
      </c>
      <c r="B96">
        <v>549.6</v>
      </c>
      <c r="C96">
        <f>4*$M$3*10^3*100*0.001*SQRT(1-4*A96^2/(BASE!$L$13*BASE!$L$13*4))/(PI()*BASE!$L$13*2)</f>
        <v>2.8189808520138433</v>
      </c>
      <c r="D96" s="19">
        <v>0.41915382590213968</v>
      </c>
      <c r="E96">
        <v>0.60332432436579886</v>
      </c>
      <c r="F96">
        <v>6.9911100894085466E-3</v>
      </c>
      <c r="G96">
        <v>-9.6230819677972784E-2</v>
      </c>
      <c r="H96">
        <v>0.40686069138299608</v>
      </c>
      <c r="I96">
        <f>1/2*BASE!$F$4*(BASE!$F$5^2)*(B96+B95)/2000*E96*0.1</f>
        <v>2.7233377923210438</v>
      </c>
      <c r="J96">
        <f>1/2*BASE!$F$4*(BASE!$F$5^2)*(B96+B95)/2000*F96*0.1</f>
        <v>3.1557080574824793E-2</v>
      </c>
    </row>
    <row r="97" spans="1:10" x14ac:dyDescent="1.1000000000000001">
      <c r="A97">
        <v>9300</v>
      </c>
      <c r="B97">
        <v>544.79999999999995</v>
      </c>
      <c r="C97">
        <f>4*$M$3*10^3*100*0.001*SQRT(1-4*A97^2/(BASE!$L$13*BASE!$L$13*4))/(PI()*BASE!$L$13*2)</f>
        <v>2.7416077088932589</v>
      </c>
      <c r="D97" s="19">
        <v>0.4548972550129427</v>
      </c>
      <c r="E97">
        <v>0.59308661912155713</v>
      </c>
      <c r="F97">
        <v>6.9725411371991284E-3</v>
      </c>
      <c r="G97">
        <v>-9.6132418380082754E-2</v>
      </c>
      <c r="H97">
        <v>0.40948289545126498</v>
      </c>
      <c r="I97">
        <f>1/2*BASE!$F$4*(BASE!$F$5^2)*(B97+B96)/2000*E97*0.1</f>
        <v>2.6538465921841325</v>
      </c>
      <c r="J97">
        <f>1/2*BASE!$F$4*(BASE!$F$5^2)*(B97+B96)/2000*F97*0.1</f>
        <v>3.1199581881018713E-2</v>
      </c>
    </row>
    <row r="98" spans="1:10" x14ac:dyDescent="1.1000000000000001">
      <c r="A98">
        <v>9400</v>
      </c>
      <c r="B98">
        <v>540</v>
      </c>
      <c r="C98">
        <f>4*$M$3*10^3*100*0.001*SQRT(1-4*A98^2/(BASE!$L$13*BASE!$L$13*4))/(PI()*BASE!$L$13*2)</f>
        <v>2.6611128065796845</v>
      </c>
      <c r="D98" s="19">
        <v>0.48098735359476569</v>
      </c>
      <c r="E98">
        <v>0.58394195454389197</v>
      </c>
      <c r="F98">
        <v>6.9504785078903309E-3</v>
      </c>
      <c r="G98">
        <v>-9.6021579593482509E-2</v>
      </c>
      <c r="H98">
        <v>0.411844275330152</v>
      </c>
      <c r="I98">
        <f>1/2*BASE!$F$4*(BASE!$F$5^2)*(B98+B97)/2000*E98*0.1</f>
        <v>2.590007131993195</v>
      </c>
      <c r="J98">
        <f>1/2*BASE!$F$4*(BASE!$F$5^2)*(B98+B97)/2000*F98*0.1</f>
        <v>3.0828045092704967E-2</v>
      </c>
    </row>
    <row r="99" spans="1:10" x14ac:dyDescent="1.1000000000000001">
      <c r="A99">
        <v>9500</v>
      </c>
      <c r="B99">
        <v>530.66666666666663</v>
      </c>
      <c r="C99">
        <f>4*$M$3*10^3*100*0.001*SQRT(1-4*A99^2/(BASE!$L$13*BASE!$L$13*4))/(PI()*BASE!$L$13*2)</f>
        <v>2.5772036519567258</v>
      </c>
      <c r="D99" s="19">
        <v>0.43107096528225508</v>
      </c>
      <c r="E99">
        <v>0.56442680402152046</v>
      </c>
      <c r="F99">
        <v>7.1055220371406876E-3</v>
      </c>
      <c r="G99">
        <v>-9.1679557363291558E-2</v>
      </c>
      <c r="H99">
        <v>0.40914646115376752</v>
      </c>
      <c r="I99">
        <f>1/2*BASE!$F$4*(BASE!$F$5^2)*(B99+B98)/2000*E99*0.1</f>
        <v>2.4708336989566053</v>
      </c>
      <c r="J99">
        <f>1/2*BASE!$F$4*(BASE!$F$5^2)*(B99+B98)/2000*F99*0.1</f>
        <v>3.1105119694805641E-2</v>
      </c>
    </row>
    <row r="100" spans="1:10" x14ac:dyDescent="1.1000000000000001">
      <c r="A100">
        <v>9600</v>
      </c>
      <c r="B100">
        <v>521.33333333333337</v>
      </c>
      <c r="C100">
        <f>4*$M$3*10^3*100*0.001*SQRT(1-4*A100^2/(BASE!$L$13*BASE!$L$13*4))/(PI()*BASE!$L$13*2)</f>
        <v>2.4895350394025342</v>
      </c>
      <c r="D100" s="19">
        <v>0.37410176672854201</v>
      </c>
      <c r="E100">
        <v>0.55273259333684621</v>
      </c>
      <c r="F100">
        <v>7.1654961059561756E-3</v>
      </c>
      <c r="G100">
        <v>-8.8685053875912842E-2</v>
      </c>
      <c r="H100">
        <v>0.40638478571514169</v>
      </c>
      <c r="I100">
        <f>1/2*BASE!$F$4*(BASE!$F$5^2)*(B100+B99)/2000*E100*0.1</f>
        <v>2.3774556202905628</v>
      </c>
      <c r="J100">
        <f>1/2*BASE!$F$4*(BASE!$F$5^2)*(B100+B99)/2000*F100*0.1</f>
        <v>3.0820778790032002E-2</v>
      </c>
    </row>
    <row r="101" spans="1:10" x14ac:dyDescent="1.1000000000000001">
      <c r="A101">
        <v>9700</v>
      </c>
      <c r="B101">
        <v>512</v>
      </c>
      <c r="C101">
        <f>4*$M$3*10^3*100*0.001*SQRT(1-4*A101^2/(BASE!$L$13*BASE!$L$13*4))/(PI()*BASE!$L$13*2)</f>
        <v>2.3976946251772939</v>
      </c>
      <c r="D101" s="19">
        <v>0.33184379757651428</v>
      </c>
      <c r="E101">
        <v>0.53895509143173514</v>
      </c>
      <c r="F101">
        <v>7.2265407035454546E-3</v>
      </c>
      <c r="G101">
        <v>-8.5585797538912198E-2</v>
      </c>
      <c r="H101">
        <v>0.40401397017191959</v>
      </c>
      <c r="I101">
        <f>1/2*BASE!$F$4*(BASE!$F$5^2)*(B101+B100)/2000*E101*0.1</f>
        <v>2.277060776344713</v>
      </c>
      <c r="J101">
        <f>1/2*BASE!$F$4*(BASE!$F$5^2)*(B101+B100)/2000*F101*0.1</f>
        <v>3.0531806167724329E-2</v>
      </c>
    </row>
    <row r="102" spans="1:10" x14ac:dyDescent="1.1000000000000001">
      <c r="A102">
        <v>9800</v>
      </c>
      <c r="B102">
        <v>502.66666666666669</v>
      </c>
      <c r="C102">
        <f>4*$M$3*10^3*100*0.001*SQRT(1-4*A102^2/(BASE!$L$13*BASE!$L$13*4))/(PI()*BASE!$L$13*2)</f>
        <v>2.3011829725670232</v>
      </c>
      <c r="D102" s="19">
        <v>0.2990909644830565</v>
      </c>
      <c r="E102">
        <v>0.52383334088431188</v>
      </c>
      <c r="F102">
        <v>7.2882892700164119E-3</v>
      </c>
      <c r="G102">
        <v>-8.2411460815726395E-2</v>
      </c>
      <c r="H102">
        <v>0.40188085809292567</v>
      </c>
      <c r="I102">
        <f>1/2*BASE!$F$4*(BASE!$F$5^2)*(B102+B101)/2000*E102*0.1</f>
        <v>2.1731921847637681</v>
      </c>
      <c r="J102">
        <f>1/2*BASE!$F$4*(BASE!$F$5^2)*(B102+B101)/2000*F102*0.1</f>
        <v>3.0236435991567192E-2</v>
      </c>
    </row>
    <row r="103" spans="1:10" x14ac:dyDescent="1.1000000000000001">
      <c r="A103">
        <v>9900</v>
      </c>
      <c r="B103">
        <v>493.33333333333331</v>
      </c>
      <c r="C103">
        <f>4*$M$3*10^3*100*0.001*SQRT(1-4*A103^2/(BASE!$L$13*BASE!$L$13*4))/(PI()*BASE!$L$13*2)</f>
        <v>2.1993852289442004</v>
      </c>
      <c r="D103" s="19">
        <v>0.27625688374485019</v>
      </c>
      <c r="E103">
        <v>0.50728813811840623</v>
      </c>
      <c r="F103">
        <v>7.3503643129390296E-3</v>
      </c>
      <c r="G103">
        <v>-7.9158814706853986E-2</v>
      </c>
      <c r="H103">
        <v>0.40000678439166398</v>
      </c>
      <c r="I103">
        <f>1/2*BASE!$F$4*(BASE!$F$5^2)*(B103+B102)/2000*E103*0.1</f>
        <v>2.0658350902159612</v>
      </c>
      <c r="J103">
        <f>1/2*BASE!$F$4*(BASE!$F$5^2)*(B103+B102)/2000*F103*0.1</f>
        <v>2.993296981053464E-2</v>
      </c>
    </row>
    <row r="104" spans="1:10" x14ac:dyDescent="1.1000000000000001">
      <c r="A104">
        <v>10000</v>
      </c>
      <c r="B104">
        <v>484</v>
      </c>
      <c r="C104">
        <f>4*$M$3*10^3*100*0.001*SQRT(1-4*A104^2/(BASE!$L$13*BASE!$L$13*4))/(PI()*BASE!$L$13*2)</f>
        <v>2.0915296918286099</v>
      </c>
      <c r="D104" s="19">
        <v>0.26319504791171011</v>
      </c>
      <c r="E104">
        <v>0.48926620414768929</v>
      </c>
      <c r="F104">
        <v>7.4120325882035681E-3</v>
      </c>
      <c r="G104">
        <v>-7.5816521750461011E-2</v>
      </c>
      <c r="H104">
        <v>0.398390107796947</v>
      </c>
      <c r="I104">
        <f>1/2*BASE!$F$4*(BASE!$F$5^2)*(B104+B103)/2000*E104*0.1</f>
        <v>1.9551025115781853</v>
      </c>
      <c r="J104">
        <f>1/2*BASE!$F$4*(BASE!$F$5^2)*(B104+B103)/2000*F104*0.1</f>
        <v>2.9618402837245289E-2</v>
      </c>
    </row>
    <row r="105" spans="1:10" x14ac:dyDescent="1.1000000000000001">
      <c r="A105">
        <v>10100</v>
      </c>
      <c r="B105">
        <v>474.66666666666657</v>
      </c>
      <c r="C105">
        <f>4*$M$3*10^3*100*0.001*SQRT(1-4*A105^2/(BASE!$L$13*BASE!$L$13*4))/(PI()*BASE!$L$13*2)</f>
        <v>1.9766249701803928</v>
      </c>
      <c r="D105" s="19">
        <v>0.25883033217919582</v>
      </c>
      <c r="E105">
        <v>0.47001463066888433</v>
      </c>
      <c r="F105">
        <v>7.472462593988257E-3</v>
      </c>
      <c r="G105">
        <v>-7.2404069536044682E-2</v>
      </c>
      <c r="H105">
        <v>0.39712198751009459</v>
      </c>
      <c r="I105">
        <f>1/2*BASE!$F$4*(BASE!$F$5^2)*(B105+B104)/2000*E105*0.1</f>
        <v>1.8423010863245968</v>
      </c>
      <c r="J105">
        <f>1/2*BASE!$F$4*(BASE!$F$5^2)*(B105+B104)/2000*F105*0.1</f>
        <v>2.9289568996678141E-2</v>
      </c>
    </row>
    <row r="106" spans="1:10" x14ac:dyDescent="1.1000000000000001">
      <c r="A106">
        <v>10200</v>
      </c>
      <c r="B106">
        <v>465.33333333333331</v>
      </c>
      <c r="C106">
        <f>4*$M$3*10^3*100*0.001*SQRT(1-4*A106^2/(BASE!$L$13*BASE!$L$13*4))/(PI()*BASE!$L$13*2)</f>
        <v>1.8533604204573408</v>
      </c>
      <c r="D106" s="19">
        <v>0.25455031389586569</v>
      </c>
      <c r="E106">
        <v>0.4516421895571664</v>
      </c>
      <c r="F106">
        <v>7.5712490921522506E-3</v>
      </c>
      <c r="G106">
        <v>-6.9623521362485674E-2</v>
      </c>
      <c r="H106">
        <v>0.39789920684399832</v>
      </c>
      <c r="I106">
        <f>1/2*BASE!$F$4*(BASE!$F$5^2)*(B106+B105)/2000*E106*0.1</f>
        <v>1.7358170986751631</v>
      </c>
      <c r="J106">
        <f>1/2*BASE!$F$4*(BASE!$F$5^2)*(B106+B105)/2000*F106*0.1</f>
        <v>2.9098928170046879E-2</v>
      </c>
    </row>
    <row r="107" spans="1:10" x14ac:dyDescent="1.1000000000000001">
      <c r="A107">
        <v>10300</v>
      </c>
      <c r="B107">
        <v>456</v>
      </c>
      <c r="C107">
        <f>4*$M$3*10^3*100*0.001*SQRT(1-4*A107^2/(BASE!$L$13*BASE!$L$13*4))/(PI()*BASE!$L$13*2)</f>
        <v>1.7199395855471777</v>
      </c>
      <c r="D107" s="19">
        <v>0.27913062418404289</v>
      </c>
      <c r="E107">
        <v>0.42996176710562423</v>
      </c>
      <c r="F107">
        <v>7.6657927256748772E-3</v>
      </c>
      <c r="G107">
        <v>-6.6436212962213956E-2</v>
      </c>
      <c r="H107">
        <v>0.39829244221168281</v>
      </c>
      <c r="I107">
        <f>1/2*BASE!$F$4*(BASE!$F$5^2)*(B107+B106)/2000*E107*0.1</f>
        <v>1.6196762999757561</v>
      </c>
      <c r="J107">
        <f>1/2*BASE!$F$4*(BASE!$F$5^2)*(B107+B106)/2000*F107*0.1</f>
        <v>2.8877225251639684E-2</v>
      </c>
    </row>
    <row r="108" spans="1:10" x14ac:dyDescent="1.1000000000000001">
      <c r="A108">
        <v>10400</v>
      </c>
      <c r="B108">
        <v>446.66666666666657</v>
      </c>
      <c r="C108">
        <f>4*$M$3*10^3*100*0.001*SQRT(1-4*A108^2/(BASE!$L$13*BASE!$L$13*4))/(PI()*BASE!$L$13*2)</f>
        <v>1.5737815166610005</v>
      </c>
      <c r="D108" s="19">
        <v>0.32718740039924099</v>
      </c>
      <c r="E108">
        <v>0.40571622918011802</v>
      </c>
      <c r="F108">
        <v>7.7592371324603764E-3</v>
      </c>
      <c r="G108">
        <v>-6.3274991061157762E-2</v>
      </c>
      <c r="H108">
        <v>0.3998891455404236</v>
      </c>
      <c r="I108">
        <f>1/2*BASE!$F$4*(BASE!$F$5^2)*(B108+B107)/2000*E108*0.1</f>
        <v>1.4973777998221958</v>
      </c>
      <c r="J108">
        <f>1/2*BASE!$F$4*(BASE!$F$5^2)*(B108+B107)/2000*F108*0.1</f>
        <v>2.8637033941632528E-2</v>
      </c>
    </row>
    <row r="109" spans="1:10" x14ac:dyDescent="1.1000000000000001">
      <c r="A109">
        <v>10500</v>
      </c>
      <c r="B109">
        <v>437.33333333333331</v>
      </c>
      <c r="C109">
        <f>4*$M$3*10^3*100*0.001*SQRT(1-4*A109^2/(BASE!$L$13*BASE!$L$13*4))/(PI()*BASE!$L$13*2)</f>
        <v>1.4109334147551436</v>
      </c>
      <c r="D109" s="19">
        <v>0.40728408804743738</v>
      </c>
      <c r="E109">
        <v>0.37784214542885181</v>
      </c>
      <c r="F109">
        <v>7.848162085096845E-3</v>
      </c>
      <c r="G109">
        <v>-6.0185442644385773E-2</v>
      </c>
      <c r="H109">
        <v>0.40346014476870018</v>
      </c>
      <c r="I109">
        <f>1/2*BASE!$F$4*(BASE!$F$5^2)*(B109+B108)/2000*E109*0.1</f>
        <v>1.3656652786811083</v>
      </c>
      <c r="J109">
        <f>1/2*BASE!$F$4*(BASE!$F$5^2)*(B109+B108)/2000*F109*0.1</f>
        <v>2.836624392155453E-2</v>
      </c>
    </row>
    <row r="110" spans="1:10" x14ac:dyDescent="1.1000000000000001">
      <c r="A110">
        <v>10600</v>
      </c>
      <c r="B110">
        <v>428</v>
      </c>
      <c r="C110">
        <f>4*$M$3*10^3*100*0.001*SQRT(1-4*A110^2/(BASE!$L$13*BASE!$L$13*4))/(PI()*BASE!$L$13*2)</f>
        <v>1.2247557691224149</v>
      </c>
      <c r="D110" s="19">
        <v>0.53667884955034184</v>
      </c>
      <c r="E110">
        <v>0.34447319640443008</v>
      </c>
      <c r="F110">
        <v>7.9517446956936192E-3</v>
      </c>
      <c r="G110">
        <v>-5.7091966295676783E-2</v>
      </c>
      <c r="H110">
        <v>0.41090232732008719</v>
      </c>
      <c r="I110">
        <f>1/2*BASE!$F$4*(BASE!$F$5^2)*(B110+B109)/2000*E110*0.1</f>
        <v>1.2187663997495097</v>
      </c>
      <c r="J110">
        <f>1/2*BASE!$F$4*(BASE!$F$5^2)*(B110+B109)/2000*F110*0.1</f>
        <v>2.8133739738402292E-2</v>
      </c>
    </row>
    <row r="111" spans="1:10" x14ac:dyDescent="1.1000000000000001">
      <c r="A111">
        <v>10700</v>
      </c>
      <c r="B111">
        <v>418.66666666666657</v>
      </c>
      <c r="C111">
        <f>4*$M$3*10^3*100*0.001*SQRT(1-4*A111^2/(BASE!$L$13*BASE!$L$13*4))/(PI()*BASE!$L$13*2)</f>
        <v>1.0023318021303524</v>
      </c>
      <c r="D111" s="19">
        <v>0.76007023250153805</v>
      </c>
      <c r="E111">
        <v>0.30122953758406568</v>
      </c>
      <c r="F111">
        <v>8.0754268895987975E-3</v>
      </c>
      <c r="G111">
        <v>-5.4392879200001423E-2</v>
      </c>
      <c r="H111">
        <v>0.42730587366966571</v>
      </c>
      <c r="I111">
        <f>1/2*BASE!$F$4*(BASE!$F$5^2)*(B111+B110)/2000*E111*0.1</f>
        <v>1.042777426685662</v>
      </c>
      <c r="J111">
        <f>1/2*BASE!$F$4*(BASE!$F$5^2)*(B111+B110)/2000*F111*0.1</f>
        <v>2.7955003811583307E-2</v>
      </c>
    </row>
    <row r="112" spans="1:10" x14ac:dyDescent="1.1000000000000001">
      <c r="A112">
        <v>10800</v>
      </c>
      <c r="B112">
        <v>409.33333333333331</v>
      </c>
      <c r="C112">
        <f>4*$M$3*10^3*100*0.001*SQRT(1-4*A112^2/(BASE!$L$13*BASE!$L$13*4))/(PI()*BASE!$L$13*2)</f>
        <v>0.71039435777765925</v>
      </c>
      <c r="D112" s="19">
        <v>1.1929588026803419</v>
      </c>
      <c r="E112">
        <v>0.23996927659340689</v>
      </c>
      <c r="F112">
        <v>8.211025670545876E-3</v>
      </c>
      <c r="G112">
        <v>-5.3250769023417133E-2</v>
      </c>
      <c r="H112">
        <v>0.47076940508596071</v>
      </c>
      <c r="I112">
        <f>1/2*BASE!$F$4*(BASE!$F$5^2)*(B112+B111)/2000*E112*0.1</f>
        <v>0.8123956389000182</v>
      </c>
      <c r="J112">
        <f>1/2*BASE!$F$4*(BASE!$F$5^2)*(B112+B111)/2000*F112*0.1</f>
        <v>2.7797731194355909E-2</v>
      </c>
    </row>
    <row r="113" spans="1:10" x14ac:dyDescent="1.1000000000000001">
      <c r="A113">
        <v>10900</v>
      </c>
      <c r="B113">
        <v>400</v>
      </c>
      <c r="C113">
        <f>4*$M$3*10^3*100*0.001*SQRT(1-4*A113^2/(BASE!$L$13*BASE!$L$13*4))/(PI()*BASE!$L$13*2)</f>
        <v>0</v>
      </c>
      <c r="D113" s="19">
        <v>2.9827385046631592</v>
      </c>
      <c r="E113">
        <v>8.0608918302729815E-2</v>
      </c>
      <c r="F113">
        <v>8.2145675004098792E-3</v>
      </c>
      <c r="G113">
        <v>-5.2556215980818131E-2</v>
      </c>
      <c r="H113">
        <v>0.90678702885482398</v>
      </c>
      <c r="I113">
        <f>1/2*BASE!$F$4*(BASE!$F$5^2)*(B113+B112)/2000*E113*0.1</f>
        <v>0.26674244356580484</v>
      </c>
      <c r="J113">
        <f>1/2*BASE!$F$4*(BASE!$F$5^2)*(B113+B112)/2000*F113*0.1</f>
        <v>2.7182771510052297E-2</v>
      </c>
    </row>
    <row r="114" spans="1:10" x14ac:dyDescent="1.1000000000000001">
      <c r="A114">
        <v>11000</v>
      </c>
      <c r="C114" t="e">
        <f>4*$M$3*10^3*100*0.001*SQRT(1-4*A114^2/(BASE!$L$13*BASE!$L$13*4))/(PI()*BASE!$L$13*2)</f>
        <v>#NUM!</v>
      </c>
      <c r="D114" s="19"/>
      <c r="J114">
        <f>1/2*BASE!$F$4*(BASE!$F$5^2)*(B114+B113)/2000*F114*0.1</f>
        <v>0</v>
      </c>
    </row>
    <row r="115" spans="1:10" x14ac:dyDescent="1.1000000000000001">
      <c r="A115">
        <v>11100</v>
      </c>
      <c r="C115" t="e">
        <f>4*$M$3*10^3*100*0.001*SQRT(1-4*A115^2/(BASE!$L$13*BASE!$L$13*4))/(PI()*BASE!$L$13*2)</f>
        <v>#NUM!</v>
      </c>
      <c r="D115" s="19"/>
      <c r="J115">
        <f>1/2*BASE!$F$4*(BASE!$F$5^2)*(B115+B114)/2000*F115*0.1</f>
        <v>0</v>
      </c>
    </row>
    <row r="116" spans="1:10" x14ac:dyDescent="1.1000000000000001">
      <c r="A116">
        <v>11200</v>
      </c>
      <c r="C116" t="e">
        <f>4*$M$3*10^3*100*0.001*SQRT(1-4*A116^2/(BASE!$L$13*BASE!$L$13*4))/(PI()*BASE!$L$13*2)</f>
        <v>#NUM!</v>
      </c>
      <c r="D116" s="19"/>
      <c r="J116">
        <f>1/2*BASE!$F$4*(BASE!$F$5^2)*(B116+B115)/2000*F116*0.1</f>
        <v>0</v>
      </c>
    </row>
    <row r="117" spans="1:10" x14ac:dyDescent="1.1000000000000001">
      <c r="A117">
        <v>11300</v>
      </c>
      <c r="C117" t="e">
        <f>4*$M$3*10^3*100*0.001*SQRT(1-4*A117^2/(BASE!$L$13*BASE!$L$13*4))/(PI()*BASE!$L$13*2)</f>
        <v>#NUM!</v>
      </c>
      <c r="D117" s="19"/>
      <c r="J117">
        <f>1/2*BASE!$F$4*(BASE!$F$5^2)*(B117+B116)/2000*F117*0.1</f>
        <v>0</v>
      </c>
    </row>
    <row r="118" spans="1:10" x14ac:dyDescent="1.1000000000000001">
      <c r="A118">
        <v>11400</v>
      </c>
      <c r="C118" t="e">
        <f>4*$M$3*10^3*100*0.001*SQRT(1-4*A118^2/(BASE!$L$13*BASE!$L$13*4))/(PI()*BASE!$L$13*2)</f>
        <v>#NUM!</v>
      </c>
      <c r="D118" s="19"/>
      <c r="J118">
        <f>1/2*BASE!$F$4*(BASE!$F$5^2)*(B118+B117)/2000*F118*0.1</f>
        <v>0</v>
      </c>
    </row>
    <row r="119" spans="1:10" x14ac:dyDescent="1.1000000000000001">
      <c r="A119">
        <v>11500</v>
      </c>
      <c r="C119" t="e">
        <f>4*$M$3*10^3*100*0.001*SQRT(1-4*A119^2/(BASE!$L$13*BASE!$L$13*4))/(PI()*BASE!$L$13*2)</f>
        <v>#NUM!</v>
      </c>
      <c r="D119" s="19"/>
      <c r="J119">
        <f>1/2*BASE!$F$4*(BASE!$F$5^2)*(B119+B118)/2000*F119*0.1</f>
        <v>0</v>
      </c>
    </row>
    <row r="120" spans="1:10" x14ac:dyDescent="1.1000000000000001">
      <c r="A120">
        <v>11600</v>
      </c>
      <c r="C120" t="e">
        <f>4*$M$3*10^3*100*0.001*SQRT(1-4*A120^2/(BASE!$L$13*BASE!$L$13*4))/(PI()*BASE!$L$13*2)</f>
        <v>#NUM!</v>
      </c>
      <c r="D120" s="19"/>
      <c r="J120">
        <f>1/2*BASE!$F$4*(BASE!$F$5^2)*(B120+B119)/2000*F120*0.1</f>
        <v>0</v>
      </c>
    </row>
    <row r="121" spans="1:10" x14ac:dyDescent="1.1000000000000001">
      <c r="A121">
        <v>11700</v>
      </c>
      <c r="C121" t="e">
        <f>4*$M$3*10^3*100*0.001*SQRT(1-4*A121^2/(BASE!$L$13*BASE!$L$13*4))/(PI()*BASE!$L$13*2)</f>
        <v>#NUM!</v>
      </c>
      <c r="D121" s="19"/>
      <c r="J121">
        <f>1/2*BASE!$F$4*(BASE!$F$5^2)*(B121+B120)/2000*F121*0.1</f>
        <v>0</v>
      </c>
    </row>
    <row r="122" spans="1:10" x14ac:dyDescent="1.1000000000000001">
      <c r="A122">
        <v>11800</v>
      </c>
      <c r="C122" t="e">
        <f>4*$M$3*10^3*100*0.001*SQRT(1-4*A122^2/(BASE!$L$13*BASE!$L$13*4))/(PI()*BASE!$L$13*2)</f>
        <v>#NUM!</v>
      </c>
      <c r="D122" s="19"/>
      <c r="J122">
        <f>1/2*BASE!$F$4*(BASE!$F$5^2)*(B122+B121)/2000*F122*0.1</f>
        <v>0</v>
      </c>
    </row>
    <row r="123" spans="1:10" x14ac:dyDescent="1.1000000000000001">
      <c r="A123">
        <v>11900</v>
      </c>
      <c r="C123" t="e">
        <f>4*$M$3*10^3*100*0.001*SQRT(1-4*A123^2/(BASE!$L$13*BASE!$L$13*4))/(PI()*BASE!$L$13*2)</f>
        <v>#NUM!</v>
      </c>
      <c r="D123" s="19"/>
      <c r="J123">
        <f>1/2*BASE!$F$4*(BASE!$F$5^2)*(B123+B122)/2000*F123*0.1</f>
        <v>0</v>
      </c>
    </row>
    <row r="124" spans="1:10" x14ac:dyDescent="1.1000000000000001">
      <c r="A124">
        <v>12000</v>
      </c>
      <c r="C124" t="e">
        <f>4*$M$3*10^3*100*0.001*SQRT(1-4*A124^2/(BASE!$L$13*BASE!$L$13*4))/(PI()*BASE!$L$13*2)</f>
        <v>#NUM!</v>
      </c>
      <c r="D124" s="19"/>
      <c r="J124">
        <f>1/2*BASE!$F$4*(BASE!$F$5^2)*(B124+B123)/2000*F124*0.1</f>
        <v>0</v>
      </c>
    </row>
    <row r="125" spans="1:10" x14ac:dyDescent="1.1000000000000001">
      <c r="A125">
        <v>12100</v>
      </c>
      <c r="C125" t="e">
        <f>4*$M$3*10^3*100*0.001*SQRT(1-4*A125^2/(BASE!$L$13*BASE!$L$13*4))/(PI()*BASE!$L$13*2)</f>
        <v>#NUM!</v>
      </c>
      <c r="D125" s="19"/>
      <c r="J125">
        <f>1/2*BASE!$F$4*(BASE!$F$5^2)*(B125+B124)/2000*F125*0.1</f>
        <v>0</v>
      </c>
    </row>
    <row r="126" spans="1:10" x14ac:dyDescent="1.1000000000000001">
      <c r="A126">
        <v>12200</v>
      </c>
      <c r="C126" t="e">
        <f>4*$M$3*10^3*100*0.001*SQRT(1-4*A126^2/(BASE!$L$13*BASE!$L$13*4))/(PI()*BASE!$L$13*2)</f>
        <v>#NUM!</v>
      </c>
      <c r="D126" s="19"/>
      <c r="J126">
        <f>1/2*BASE!$F$4*(BASE!$F$5^2)*(B126+B125)/2000*F126*0.1</f>
        <v>0</v>
      </c>
    </row>
    <row r="127" spans="1:10" x14ac:dyDescent="1.1000000000000001">
      <c r="A127">
        <v>12300</v>
      </c>
      <c r="C127" t="e">
        <f>4*$M$3*10^3*100*0.001*SQRT(1-4*A127^2/(BASE!$L$13*BASE!$L$13*4))/(PI()*BASE!$L$13*2)</f>
        <v>#NUM!</v>
      </c>
      <c r="D127" s="19"/>
      <c r="J127">
        <f>1/2*BASE!$F$4*(BASE!$F$5^2)*(B127+B126)/2000*F127*0.1</f>
        <v>0</v>
      </c>
    </row>
    <row r="128" spans="1:10" x14ac:dyDescent="1.1000000000000001">
      <c r="A128">
        <v>12400</v>
      </c>
      <c r="C128" t="e">
        <f>4*$M$3*10^3*100*0.001*SQRT(1-4*A128^2/(BASE!$L$13*BASE!$L$13*4))/(PI()*BASE!$L$13*2)</f>
        <v>#NUM!</v>
      </c>
      <c r="D128" s="19"/>
      <c r="J128">
        <f>1/2*BASE!$F$4*(BASE!$F$5^2)*(B128+B127)/2000*F128*0.1</f>
        <v>0</v>
      </c>
    </row>
    <row r="129" spans="1:10" x14ac:dyDescent="1.1000000000000001">
      <c r="A129">
        <v>12500</v>
      </c>
      <c r="C129" t="e">
        <f>4*$M$3*10^3*100*0.001*SQRT(1-4*A129^2/(BASE!$L$13*BASE!$L$13*4))/(PI()*BASE!$L$13*2)</f>
        <v>#NUM!</v>
      </c>
      <c r="D129" s="19"/>
      <c r="J129">
        <f>1/2*BASE!$F$4*(BASE!$F$5^2)*(B129+B128)/2000*F129*0.1</f>
        <v>0</v>
      </c>
    </row>
    <row r="130" spans="1:10" x14ac:dyDescent="1.1000000000000001">
      <c r="A130">
        <v>12600</v>
      </c>
      <c r="C130" t="e">
        <f>4*$M$3*10^3*100*0.001*SQRT(1-4*A130^2/(BASE!$L$13*BASE!$L$13*4))/(PI()*BASE!$L$13*2)</f>
        <v>#NUM!</v>
      </c>
      <c r="D130" s="19"/>
      <c r="J130">
        <f>1/2*BASE!$F$4*(BASE!$F$5^2)*(B130+B129)/2000*F130*0.1</f>
        <v>0</v>
      </c>
    </row>
    <row r="131" spans="1:10" x14ac:dyDescent="1.1000000000000001">
      <c r="A131">
        <v>12700</v>
      </c>
      <c r="C131" t="e">
        <f>4*$M$3*10^3*100*0.001*SQRT(1-4*A131^2/(BASE!$L$13*BASE!$L$13*4))/(PI()*BASE!$L$13*2)</f>
        <v>#NUM!</v>
      </c>
      <c r="D131" s="19"/>
      <c r="J131">
        <f>1/2*BASE!$F$4*(BASE!$F$5^2)*(B131+B130)/2000*F131*0.1</f>
        <v>0</v>
      </c>
    </row>
    <row r="132" spans="1:10" x14ac:dyDescent="1.1000000000000001">
      <c r="A132">
        <v>12800</v>
      </c>
      <c r="C132" t="e">
        <f>4*$M$3*10^3*100*0.001*SQRT(1-4*A132^2/(BASE!$L$13*BASE!$L$13*4))/(PI()*BASE!$L$13*2)</f>
        <v>#NUM!</v>
      </c>
      <c r="D132" s="19"/>
      <c r="J132">
        <f>1/2*BASE!$F$4*(BASE!$F$5^2)*(B132+B131)/2000*F132*0.1</f>
        <v>0</v>
      </c>
    </row>
    <row r="133" spans="1:10" x14ac:dyDescent="1.1000000000000001">
      <c r="A133">
        <v>12900</v>
      </c>
      <c r="C133" t="e">
        <f>4*$M$3*10^3*100*0.001*SQRT(1-4*A133^2/(BASE!$L$13*BASE!$L$13*4))/(PI()*BASE!$L$13*2)</f>
        <v>#NUM!</v>
      </c>
      <c r="D133" s="19"/>
      <c r="J133">
        <f>1/2*BASE!$F$4*(BASE!$F$5^2)*(B133+B132)/2000*F133*0.1</f>
        <v>0</v>
      </c>
    </row>
    <row r="134" spans="1:10" x14ac:dyDescent="1.1000000000000001">
      <c r="A134">
        <v>13000</v>
      </c>
      <c r="C134" t="e">
        <f>4*$M$3*10^3*100*0.001*SQRT(1-4*A134^2/(BASE!$L$13*BASE!$L$13*4))/(PI()*BASE!$L$13*2)</f>
        <v>#NUM!</v>
      </c>
      <c r="D134" s="19"/>
      <c r="J134">
        <f>1/2*BASE!$F$4*(BASE!$F$5^2)*(B134+B133)/2000*F134*0.1</f>
        <v>0</v>
      </c>
    </row>
    <row r="135" spans="1:10" x14ac:dyDescent="1.1000000000000001">
      <c r="A135">
        <v>13100</v>
      </c>
      <c r="C135" t="e">
        <f>4*$M$3*10^3*100*0.001*SQRT(1-4*A135^2/(BASE!$L$13*BASE!$L$13*4))/(PI()*BASE!$L$13*2)</f>
        <v>#NUM!</v>
      </c>
      <c r="D135" s="19"/>
      <c r="J135">
        <f>1/2*BASE!$F$4*(BASE!$F$5^2)*(B135+B134)/2000*F135*0.1</f>
        <v>0</v>
      </c>
    </row>
    <row r="136" spans="1:10" x14ac:dyDescent="1.1000000000000001">
      <c r="A136">
        <v>13200</v>
      </c>
      <c r="C136" t="e">
        <f>4*$M$3*10^3*100*0.001*SQRT(1-4*A136^2/(BASE!$L$13*BASE!$L$13*4))/(PI()*BASE!$L$13*2)</f>
        <v>#NUM!</v>
      </c>
      <c r="D136" s="19"/>
      <c r="J136">
        <f>1/2*BASE!$F$4*(BASE!$F$5^2)*(B136+B135)/2000*F136*0.1</f>
        <v>0</v>
      </c>
    </row>
    <row r="137" spans="1:10" x14ac:dyDescent="1.1000000000000001">
      <c r="A137">
        <v>13300</v>
      </c>
      <c r="C137" t="e">
        <f>4*$M$3*10^3*100*0.001*SQRT(1-4*A137^2/(BASE!$L$13*BASE!$L$13*4))/(PI()*BASE!$L$13*2)</f>
        <v>#NUM!</v>
      </c>
      <c r="D137" s="19"/>
      <c r="J137">
        <f>1/2*BASE!$F$4*(BASE!$F$5^2)*(B137+B136)/2000*F137*0.1</f>
        <v>0</v>
      </c>
    </row>
    <row r="138" spans="1:10" x14ac:dyDescent="1.1000000000000001">
      <c r="A138">
        <v>13400</v>
      </c>
      <c r="C138" t="e">
        <f>4*$M$3*10^3*100*0.001*SQRT(1-4*A138^2/(BASE!$L$13*BASE!$L$13*4))/(PI()*BASE!$L$13*2)</f>
        <v>#NUM!</v>
      </c>
      <c r="D138" s="19"/>
      <c r="J138">
        <f>1/2*BASE!$F$4*(BASE!$F$5^2)*(B138+B137)/2000*F138*0.1</f>
        <v>0</v>
      </c>
    </row>
    <row r="139" spans="1:10" x14ac:dyDescent="1.1000000000000001">
      <c r="A139">
        <v>13500</v>
      </c>
      <c r="C139" t="e">
        <f>4*$M$3*10^3*100*0.001*SQRT(1-4*A139^2/(BASE!$L$13*BASE!$L$13*4))/(PI()*BASE!$L$13*2)</f>
        <v>#NUM!</v>
      </c>
      <c r="D139" s="19"/>
      <c r="J139">
        <f>1/2*BASE!$F$4*(BASE!$F$5^2)*(B139+B138)/2000*F139*0.1</f>
        <v>0</v>
      </c>
    </row>
    <row r="140" spans="1:10" x14ac:dyDescent="1.1000000000000001">
      <c r="A140">
        <v>13600</v>
      </c>
      <c r="C140" t="e">
        <f>4*$M$3*10^3*100*0.001*SQRT(1-4*A140^2/(BASE!$L$13*BASE!$L$13*4))/(PI()*BASE!$L$13*2)</f>
        <v>#NUM!</v>
      </c>
      <c r="D140" s="19"/>
      <c r="J140">
        <f>1/2*BASE!$F$4*(BASE!$F$5^2)*(B140+B139)/2000*F140*0.1</f>
        <v>0</v>
      </c>
    </row>
    <row r="141" spans="1:10" x14ac:dyDescent="1.1000000000000001">
      <c r="A141">
        <v>13700</v>
      </c>
      <c r="C141" t="e">
        <f>4*$M$3*10^3*100*0.001*SQRT(1-4*A141^2/(BASE!$L$13*BASE!$L$13*4))/(PI()*BASE!$L$13*2)</f>
        <v>#NUM!</v>
      </c>
      <c r="D141" s="19"/>
      <c r="J141">
        <f>1/2*BASE!$F$4*(BASE!$F$5^2)*(B141+B140)/2000*F141*0.1</f>
        <v>0</v>
      </c>
    </row>
    <row r="142" spans="1:10" x14ac:dyDescent="1.1000000000000001">
      <c r="A142">
        <v>13800</v>
      </c>
      <c r="C142" t="e">
        <f>4*$M$3*10^3*100*0.001*SQRT(1-4*A142^2/(BASE!$L$13*BASE!$L$13*4))/(PI()*BASE!$L$13*2)</f>
        <v>#NUM!</v>
      </c>
      <c r="D142" s="19"/>
      <c r="J142">
        <f>1/2*BASE!$F$4*(BASE!$F$5^2)*(B142+B141)/2000*F142*0.1</f>
        <v>0</v>
      </c>
    </row>
    <row r="143" spans="1:10" x14ac:dyDescent="1.1000000000000001">
      <c r="A143">
        <v>13900</v>
      </c>
      <c r="C143" t="e">
        <f>4*$M$3*10^3*100*0.001*SQRT(1-4*A143^2/(BASE!$L$13*BASE!$L$13*4))/(PI()*BASE!$L$13*2)</f>
        <v>#NUM!</v>
      </c>
      <c r="D143" s="19"/>
      <c r="J143">
        <f>1/2*BASE!$F$4*(BASE!$F$5^2)*(B143+B142)/2000*F143*0.1</f>
        <v>0</v>
      </c>
    </row>
    <row r="144" spans="1:10" x14ac:dyDescent="1.1000000000000001">
      <c r="A144">
        <v>14000</v>
      </c>
      <c r="C144" t="e">
        <f>4*$M$3*10^3*100*0.001*SQRT(1-4*A144^2/(BASE!$L$13*BASE!$L$13*4))/(PI()*BASE!$L$13*2)</f>
        <v>#NUM!</v>
      </c>
      <c r="D144" s="19"/>
      <c r="J144">
        <f>1/2*BASE!$F$4*(BASE!$F$5^2)*(B144+B143)/2000*F144*0.1</f>
        <v>0</v>
      </c>
    </row>
    <row r="145" spans="1:10" x14ac:dyDescent="1.1000000000000001">
      <c r="A145">
        <v>14100</v>
      </c>
      <c r="C145" t="e">
        <f>4*$M$3*10^3*100*0.001*SQRT(1-4*A145^2/(BASE!$L$13*BASE!$L$13*4))/(PI()*BASE!$L$13*2)</f>
        <v>#NUM!</v>
      </c>
      <c r="D145" s="19"/>
      <c r="J145">
        <f>1/2*BASE!$F$4*(BASE!$F$5^2)*(B145+B144)/2000*F145*0.1</f>
        <v>0</v>
      </c>
    </row>
    <row r="146" spans="1:10" x14ac:dyDescent="1.1000000000000001">
      <c r="A146">
        <v>14200</v>
      </c>
      <c r="C146" t="e">
        <f>4*$M$3*10^3*100*0.001*SQRT(1-4*A146^2/(BASE!$L$13*BASE!$L$13*4))/(PI()*BASE!$L$13*2)</f>
        <v>#NUM!</v>
      </c>
      <c r="D146" s="19"/>
      <c r="J146">
        <f>1/2*BASE!$F$4*(BASE!$F$5^2)*(B146+B145)/2000*F146*0.1</f>
        <v>0</v>
      </c>
    </row>
    <row r="147" spans="1:10" x14ac:dyDescent="1.1000000000000001">
      <c r="A147">
        <v>14300</v>
      </c>
      <c r="C147" t="e">
        <f>4*$M$3*10^3*100*0.001*SQRT(1-4*A147^2/(BASE!$L$13*BASE!$L$13*4))/(PI()*BASE!$L$13*2)</f>
        <v>#NUM!</v>
      </c>
      <c r="D147" s="19"/>
      <c r="J147">
        <f>1/2*BASE!$F$4*(BASE!$F$5^2)*(B147+B146)/2000*F147*0.1</f>
        <v>0</v>
      </c>
    </row>
    <row r="148" spans="1:10" x14ac:dyDescent="1.1000000000000001">
      <c r="A148">
        <v>14400</v>
      </c>
      <c r="C148" t="e">
        <f>4*$M$3*10^3*100*0.001*SQRT(1-4*A148^2/(BASE!$L$13*BASE!$L$13*4))/(PI()*BASE!$L$13*2)</f>
        <v>#NUM!</v>
      </c>
      <c r="D148" s="19"/>
      <c r="J148">
        <f>1/2*BASE!$F$4*(BASE!$F$5^2)*(B148+B147)/2000*F148*0.1</f>
        <v>0</v>
      </c>
    </row>
    <row r="149" spans="1:10" x14ac:dyDescent="1.1000000000000001">
      <c r="A149">
        <v>14500</v>
      </c>
      <c r="C149" t="e">
        <f>4*$M$3*10^3*100*0.001*SQRT(1-4*A149^2/(BASE!$L$13*BASE!$L$13*4))/(PI()*BASE!$L$13*2)</f>
        <v>#NUM!</v>
      </c>
      <c r="D149" s="19"/>
      <c r="J149">
        <f>1/2*BASE!$F$4*(BASE!$F$5^2)*(B149+B148)/2000*F149*0.1</f>
        <v>0</v>
      </c>
    </row>
    <row r="150" spans="1:10" x14ac:dyDescent="1.1000000000000001">
      <c r="A150">
        <v>14600</v>
      </c>
      <c r="C150" t="e">
        <f>4*$M$3*10^3*100*0.001*SQRT(1-4*A150^2/(BASE!$L$13*BASE!$L$13*4))/(PI()*BASE!$L$13*2)</f>
        <v>#NUM!</v>
      </c>
      <c r="D150" s="19"/>
      <c r="J150">
        <f>1/2*BASE!$F$4*(BASE!$F$5^2)*(B150+B149)/2000*F150*0.1</f>
        <v>0</v>
      </c>
    </row>
    <row r="151" spans="1:10" x14ac:dyDescent="1.1000000000000001">
      <c r="A151">
        <v>14700</v>
      </c>
      <c r="C151" t="e">
        <f>4*$M$3*10^3*100*0.001*SQRT(1-4*A151^2/(BASE!$L$13*BASE!$L$13*4))/(PI()*BASE!$L$13*2)</f>
        <v>#NUM!</v>
      </c>
      <c r="D151" s="19"/>
      <c r="J151">
        <f>1/2*BASE!$F$4*(BASE!$F$5^2)*(B151+B150)/2000*F151*0.1</f>
        <v>0</v>
      </c>
    </row>
    <row r="152" spans="1:10" x14ac:dyDescent="1.1000000000000001">
      <c r="A152">
        <v>14800</v>
      </c>
      <c r="C152" t="e">
        <f>4*$M$3*10^3*100*0.001*SQRT(1-4*A152^2/(BASE!$L$13*BASE!$L$13*4))/(PI()*BASE!$L$13*2)</f>
        <v>#NUM!</v>
      </c>
      <c r="D152" s="19"/>
      <c r="J152">
        <f>1/2*BASE!$F$4*(BASE!$F$5^2)*(B152+B151)/2000*F152*0.1</f>
        <v>0</v>
      </c>
    </row>
    <row r="153" spans="1:10" x14ac:dyDescent="1.1000000000000001">
      <c r="A153">
        <v>14900</v>
      </c>
      <c r="C153" t="e">
        <f>4*$M$3*10^3*100*0.001*SQRT(1-4*A153^2/(BASE!$L$13*BASE!$L$13*4))/(PI()*BASE!$L$13*2)</f>
        <v>#NUM!</v>
      </c>
      <c r="D153" s="19"/>
      <c r="J153">
        <f>1/2*BASE!$F$4*(BASE!$F$5^2)*(B153+B152)/2000*F153*0.1</f>
        <v>0</v>
      </c>
    </row>
    <row r="154" spans="1:10" x14ac:dyDescent="1.1000000000000001">
      <c r="A154">
        <v>15000</v>
      </c>
      <c r="C154" t="e">
        <f>4*$M$3*10^3*100*0.001*SQRT(1-4*A154^2/(BASE!$L$13*BASE!$L$13*4))/(PI()*BASE!$L$13*2)</f>
        <v>#NUM!</v>
      </c>
      <c r="D154" s="19"/>
      <c r="J154">
        <f>1/2*BASE!$F$4*(BASE!$F$5^2)*(B154+B153)/2000*F154*0.1</f>
        <v>0</v>
      </c>
    </row>
    <row r="155" spans="1:10" x14ac:dyDescent="1.1000000000000001">
      <c r="A155">
        <v>15100</v>
      </c>
      <c r="C155" t="e">
        <f>4*$M$3*10^3*100*0.001*SQRT(1-4*A155^2/(BASE!$L$13*BASE!$L$13*4))/(PI()*BASE!$L$13*2)</f>
        <v>#NUM!</v>
      </c>
      <c r="D155" s="19"/>
      <c r="J155">
        <f>1/2*BASE!$F$4*(BASE!$F$5^2)*(B155+B154)/2000*F155*0.1</f>
        <v>0</v>
      </c>
    </row>
    <row r="156" spans="1:10" x14ac:dyDescent="1.1000000000000001">
      <c r="A156">
        <v>15200</v>
      </c>
      <c r="C156" t="e">
        <f>4*$M$3*10^3*100*0.001*SQRT(1-4*A156^2/(BASE!$L$13*BASE!$L$13*4))/(PI()*BASE!$L$13*2)</f>
        <v>#NUM!</v>
      </c>
      <c r="D156" s="19"/>
      <c r="J156">
        <f>1/2*BASE!$F$4*(BASE!$F$5^2)*(B156+B155)/2000*F156*0.1</f>
        <v>0</v>
      </c>
    </row>
    <row r="157" spans="1:10" x14ac:dyDescent="1.1000000000000001">
      <c r="A157">
        <v>15300</v>
      </c>
      <c r="C157" t="e">
        <f>4*$M$3*10^3*100*0.001*SQRT(1-4*A157^2/(BASE!$L$13*BASE!$L$13*4))/(PI()*BASE!$L$13*2)</f>
        <v>#NUM!</v>
      </c>
      <c r="D157" s="19"/>
      <c r="J157">
        <f>1/2*BASE!$F$4*(BASE!$F$5^2)*(B157+B156)/2000*F157*0.1</f>
        <v>0</v>
      </c>
    </row>
    <row r="158" spans="1:10" x14ac:dyDescent="1.1000000000000001">
      <c r="A158">
        <v>15400</v>
      </c>
      <c r="C158" t="e">
        <f>4*$M$3*10^3*100*0.001*SQRT(1-4*A158^2/(BASE!$L$13*BASE!$L$13*4))/(PI()*BASE!$L$13*2)</f>
        <v>#NUM!</v>
      </c>
      <c r="D158" s="19"/>
      <c r="J158">
        <f>1/2*BASE!$F$4*(BASE!$F$5^2)*(B158+B157)/2000*F158*0.1</f>
        <v>0</v>
      </c>
    </row>
    <row r="159" spans="1:10" x14ac:dyDescent="1.1000000000000001">
      <c r="A159">
        <v>15500</v>
      </c>
      <c r="C159" t="e">
        <f>4*$M$3*10^3*100*0.001*SQRT(1-4*A159^2/(BASE!$L$13*BASE!$L$13*4))/(PI()*BASE!$L$13*2)</f>
        <v>#NUM!</v>
      </c>
      <c r="D159" s="19"/>
      <c r="J159">
        <f>1/2*BASE!$F$4*(BASE!$F$5^2)*(B159+B158)/2000*F159*0.1</f>
        <v>0</v>
      </c>
    </row>
    <row r="160" spans="1:10" x14ac:dyDescent="1.1000000000000001">
      <c r="A160">
        <v>15600</v>
      </c>
      <c r="C160" t="e">
        <f>4*$M$3*10^3*100*0.001*SQRT(1-4*A160^2/(BASE!$L$13*BASE!$L$13*4))/(PI()*BASE!$L$13*2)</f>
        <v>#NUM!</v>
      </c>
      <c r="D160" s="19"/>
      <c r="J160">
        <f>1/2*BASE!$F$4*(BASE!$F$5^2)*(B160+B159)/2000*F160*0.1</f>
        <v>0</v>
      </c>
    </row>
    <row r="161" spans="1:10" x14ac:dyDescent="1.1000000000000001">
      <c r="A161">
        <v>15700</v>
      </c>
      <c r="C161" t="e">
        <f>4*$M$3*10^3*100*0.001*SQRT(1-4*A161^2/(BASE!$L$13*BASE!$L$13*4))/(PI()*BASE!$L$13*2)</f>
        <v>#NUM!</v>
      </c>
      <c r="D161" s="19"/>
      <c r="J161">
        <f>1/2*BASE!$F$4*(BASE!$F$5^2)*(B161+B160)/2000*F161*0.1</f>
        <v>0</v>
      </c>
    </row>
    <row r="162" spans="1:10" x14ac:dyDescent="1.1000000000000001">
      <c r="A162">
        <v>15800</v>
      </c>
      <c r="C162" t="e">
        <f>4*$M$3*10^3*100*0.001*SQRT(1-4*A162^2/(BASE!$L$13*BASE!$L$13*4))/(PI()*BASE!$L$13*2)</f>
        <v>#NUM!</v>
      </c>
      <c r="D162" s="19"/>
      <c r="J162">
        <f>1/2*BASE!$F$4*(BASE!$F$5^2)*(B162+B161)/2000*F162*0.1</f>
        <v>0</v>
      </c>
    </row>
    <row r="163" spans="1:10" x14ac:dyDescent="1.1000000000000001">
      <c r="A163">
        <v>15900</v>
      </c>
      <c r="C163" t="e">
        <f>4*$M$3*10^3*100*0.001*SQRT(1-4*A163^2/(BASE!$L$13*BASE!$L$13*4))/(PI()*BASE!$L$13*2)</f>
        <v>#NUM!</v>
      </c>
      <c r="D163" s="19"/>
      <c r="J163">
        <f>1/2*BASE!$F$4*(BASE!$F$5^2)*(B163+B162)/2000*F163*0.1</f>
        <v>0</v>
      </c>
    </row>
    <row r="164" spans="1:10" x14ac:dyDescent="1.1000000000000001">
      <c r="A164">
        <v>16000</v>
      </c>
      <c r="C164" t="e">
        <f>4*$M$3*10^3*100*0.001*SQRT(1-4*A164^2/(BASE!$L$13*BASE!$L$13*4))/(PI()*BASE!$L$13*2)</f>
        <v>#NUM!</v>
      </c>
      <c r="D164" s="19"/>
      <c r="J164">
        <f>1/2*BASE!$F$4*(BASE!$F$5^2)*(B164+B163)/2000*F164*0.1</f>
        <v>0</v>
      </c>
    </row>
    <row r="165" spans="1:10" x14ac:dyDescent="1.1000000000000001">
      <c r="A165">
        <v>16100</v>
      </c>
      <c r="C165" t="e">
        <f>4*$M$3*10^3*100*0.001*SQRT(1-4*A165^2/(BASE!$L$13*BASE!$L$13*4))/(PI()*BASE!$L$13*2)</f>
        <v>#NUM!</v>
      </c>
      <c r="D165" s="19"/>
      <c r="J165">
        <f>1/2*BASE!$F$4*(BASE!$F$5^2)*(B165+B164)/2000*F165*0.1</f>
        <v>0</v>
      </c>
    </row>
    <row r="166" spans="1:10" x14ac:dyDescent="1.1000000000000001">
      <c r="A166">
        <v>16200</v>
      </c>
      <c r="C166" t="e">
        <f>4*$M$3*10^3*100*0.001*SQRT(1-4*A166^2/(BASE!$L$13*BASE!$L$13*4))/(PI()*BASE!$L$13*2)</f>
        <v>#NUM!</v>
      </c>
      <c r="D166" s="19"/>
      <c r="J166">
        <f>1/2*BASE!$F$4*(BASE!$F$5^2)*(B166+B165)/2000*F166*0.1</f>
        <v>0</v>
      </c>
    </row>
    <row r="167" spans="1:10" x14ac:dyDescent="1.1000000000000001">
      <c r="A167">
        <v>16300</v>
      </c>
      <c r="C167" t="e">
        <f>4*$M$3*10^3*100*0.001*SQRT(1-4*A167^2/(BASE!$L$13*BASE!$L$13*4))/(PI()*BASE!$L$13*2)</f>
        <v>#NUM!</v>
      </c>
      <c r="D167" s="19"/>
      <c r="J167">
        <f>1/2*BASE!$F$4*(BASE!$F$5^2)*(B167+B166)/2000*F167*0.1</f>
        <v>0</v>
      </c>
    </row>
    <row r="168" spans="1:10" x14ac:dyDescent="1.1000000000000001">
      <c r="A168">
        <v>16400</v>
      </c>
      <c r="C168" t="e">
        <f>4*$M$3*10^3*100*0.001*SQRT(1-4*A168^2/(BASE!$L$13*BASE!$L$13*4))/(PI()*BASE!$L$13*2)</f>
        <v>#NUM!</v>
      </c>
      <c r="D168" s="19"/>
      <c r="J168">
        <f>1/2*BASE!$F$4*(BASE!$F$5^2)*(B168+B167)/2000*F168*0.1</f>
        <v>0</v>
      </c>
    </row>
    <row r="169" spans="1:10" x14ac:dyDescent="1.1000000000000001">
      <c r="A169">
        <v>16500</v>
      </c>
      <c r="C169" t="e">
        <f>4*$M$3*10^3*100*0.001*SQRT(1-4*A169^2/(BASE!$L$13*BASE!$L$13*4))/(PI()*BASE!$L$13*2)</f>
        <v>#NUM!</v>
      </c>
      <c r="D169" s="19"/>
      <c r="J169">
        <f>1/2*BASE!$F$4*(BASE!$F$5^2)*(B169+B168)/2000*F169*0.1</f>
        <v>0</v>
      </c>
    </row>
    <row r="170" spans="1:10" x14ac:dyDescent="1.1000000000000001">
      <c r="A170">
        <v>16600</v>
      </c>
      <c r="C170" t="e">
        <f>4*$M$3*10^3*100*0.001*SQRT(1-4*A170^2/(BASE!$L$13*BASE!$L$13*4))/(PI()*BASE!$L$13*2)</f>
        <v>#NUM!</v>
      </c>
      <c r="D170" s="19"/>
      <c r="J170">
        <f>1/2*BASE!$F$4*(BASE!$F$5^2)*(B170+B169)/2000*F170*0.1</f>
        <v>0</v>
      </c>
    </row>
    <row r="171" spans="1:10" x14ac:dyDescent="1.1000000000000001">
      <c r="A171">
        <v>16700</v>
      </c>
      <c r="C171" t="e">
        <f>4*$M$3*10^3*100*0.001*SQRT(1-4*A171^2/(BASE!$L$13*BASE!$L$13*4))/(PI()*BASE!$L$13*2)</f>
        <v>#NUM!</v>
      </c>
      <c r="D171" s="19"/>
      <c r="J171">
        <f>1/2*BASE!$F$4*(BASE!$F$5^2)*(B171+B170)/2000*F171*0.1</f>
        <v>0</v>
      </c>
    </row>
    <row r="172" spans="1:10" x14ac:dyDescent="1.1000000000000001">
      <c r="A172">
        <v>16800</v>
      </c>
      <c r="C172" t="e">
        <f>4*$M$3*10^3*100*0.001*SQRT(1-4*A172^2/(BASE!$L$13*BASE!$L$13*4))/(PI()*BASE!$L$13*2)</f>
        <v>#NUM!</v>
      </c>
      <c r="D172" s="19"/>
      <c r="J172">
        <f>1/2*BASE!$F$4*(BASE!$F$5^2)*(B172+B171)/2000*F172*0.1</f>
        <v>0</v>
      </c>
    </row>
    <row r="173" spans="1:10" x14ac:dyDescent="1.1000000000000001">
      <c r="A173">
        <v>16900</v>
      </c>
      <c r="C173" t="e">
        <f>4*$M$3*10^3*100*0.001*SQRT(1-4*A173^2/(BASE!$L$13*BASE!$L$13*4))/(PI()*BASE!$L$13*2)</f>
        <v>#NUM!</v>
      </c>
      <c r="D173" s="19"/>
      <c r="J173">
        <f>1/2*BASE!$F$4*(BASE!$F$5^2)*(B173+B172)/2000*F173*0.1</f>
        <v>0</v>
      </c>
    </row>
    <row r="174" spans="1:10" x14ac:dyDescent="1.1000000000000001">
      <c r="A174">
        <v>17000</v>
      </c>
      <c r="C174" t="e">
        <f>4*$M$3*10^3*100*0.001*SQRT(1-4*A174^2/(BASE!$L$13*BASE!$L$13*4))/(PI()*BASE!$L$13*2)</f>
        <v>#NUM!</v>
      </c>
      <c r="D174" s="19"/>
      <c r="J174">
        <f>1/2*BASE!$F$4*(BASE!$F$5^2)*(B174+B173)/2000*F174*0.1</f>
        <v>0</v>
      </c>
    </row>
    <row r="175" spans="1:10" x14ac:dyDescent="1.1000000000000001">
      <c r="A175">
        <v>17100</v>
      </c>
      <c r="C175" t="e">
        <f>4*$M$3*10^3*100*0.001*SQRT(1-4*A175^2/(BASE!$L$13*BASE!$L$13*4))/(PI()*BASE!$L$13*2)</f>
        <v>#NUM!</v>
      </c>
      <c r="D175" s="19"/>
      <c r="J175">
        <f>1/2*BASE!$F$4*(BASE!$F$5^2)*(B175+B174)/2000*F175*0.1</f>
        <v>0</v>
      </c>
    </row>
    <row r="176" spans="1:10" x14ac:dyDescent="1.1000000000000001">
      <c r="A176">
        <v>17200</v>
      </c>
      <c r="C176" t="e">
        <f>4*$M$3*10^3*100*0.001*SQRT(1-4*A176^2/(BASE!$L$13*BASE!$L$13*4))/(PI()*BASE!$L$13*2)</f>
        <v>#NUM!</v>
      </c>
      <c r="D176" s="19"/>
      <c r="J176">
        <f>1/2*BASE!$F$4*(BASE!$F$5^2)*(B176+B175)/2000*F176*0.1</f>
        <v>0</v>
      </c>
    </row>
    <row r="177" spans="1:10" x14ac:dyDescent="1.1000000000000001">
      <c r="A177">
        <v>17300</v>
      </c>
      <c r="C177" t="e">
        <f>4*$M$3*10^3*100*0.001*SQRT(1-4*A177^2/(BASE!$L$13*BASE!$L$13*4))/(PI()*BASE!$L$13*2)</f>
        <v>#NUM!</v>
      </c>
      <c r="D177" s="19"/>
      <c r="J177">
        <f>1/2*BASE!$F$4*(BASE!$F$5^2)*(B177+B176)/2000*F177*0.1</f>
        <v>0</v>
      </c>
    </row>
    <row r="178" spans="1:10" x14ac:dyDescent="1.1000000000000001">
      <c r="A178">
        <v>17400</v>
      </c>
      <c r="C178" t="e">
        <f>4*$M$3*10^3*100*0.001*SQRT(1-4*A178^2/(BASE!$L$13*BASE!$L$13*4))/(PI()*BASE!$L$13*2)</f>
        <v>#NUM!</v>
      </c>
      <c r="D178" s="19"/>
      <c r="J178">
        <f>1/2*BASE!$F$4*(BASE!$F$5^2)*(B178+B177)/2000*F178*0.1</f>
        <v>0</v>
      </c>
    </row>
    <row r="179" spans="1:10" x14ac:dyDescent="1.1000000000000001">
      <c r="A179">
        <v>17500</v>
      </c>
      <c r="C179" t="e">
        <f>4*$M$3*10^3*100*0.001*SQRT(1-4*A179^2/(BASE!$L$13*BASE!$L$13*4))/(PI()*BASE!$L$13*2)</f>
        <v>#NUM!</v>
      </c>
      <c r="D179" s="19"/>
      <c r="J179">
        <f>1/2*BASE!$F$4*(BASE!$F$5^2)*(B179+B178)/2000*F179*0.1</f>
        <v>0</v>
      </c>
    </row>
    <row r="180" spans="1:10" x14ac:dyDescent="1.1000000000000001">
      <c r="A180">
        <v>17600</v>
      </c>
      <c r="C180" t="e">
        <f>4*$M$3*10^3*100*0.001*SQRT(1-4*A180^2/(BASE!$L$13*BASE!$L$13*4))/(PI()*BASE!$L$13*2)</f>
        <v>#NUM!</v>
      </c>
      <c r="D180" s="19"/>
      <c r="J180">
        <f>1/2*BASE!$F$4*(BASE!$F$5^2)*(B180+B179)/2000*F180*0.1</f>
        <v>0</v>
      </c>
    </row>
    <row r="181" spans="1:10" x14ac:dyDescent="1.1000000000000001">
      <c r="A181">
        <v>17700</v>
      </c>
      <c r="C181" t="e">
        <f>4*$M$3*10^3*100*0.001*SQRT(1-4*A181^2/(BASE!$L$13*BASE!$L$13*4))/(PI()*BASE!$L$13*2)</f>
        <v>#NUM!</v>
      </c>
      <c r="D181" s="19"/>
      <c r="J181">
        <f>1/2*BASE!$F$4*(BASE!$F$5^2)*(B181+B180)/2000*F181*0.1</f>
        <v>0</v>
      </c>
    </row>
  </sheetData>
  <mergeCells count="2">
    <mergeCell ref="L2:M2"/>
    <mergeCell ref="B1:E2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M181"/>
  <sheetViews>
    <sheetView zoomScale="55" zoomScaleNormal="55" workbookViewId="0">
      <pane xSplit="1" topLeftCell="B1" activePane="topRight" state="frozen"/>
      <selection activeCell="A167" sqref="A167"/>
      <selection pane="topRight" activeCell="M11" sqref="M11"/>
    </sheetView>
  </sheetViews>
  <sheetFormatPr defaultRowHeight="18" x14ac:dyDescent="1.1000000000000001"/>
  <cols>
    <col min="8" max="8" width="11.1640625" style="8" customWidth="1"/>
    <col min="12" max="12" width="12.0390625" style="8" customWidth="1"/>
  </cols>
  <sheetData>
    <row r="1" spans="1:13" ht="18" customHeight="1" x14ac:dyDescent="1.1000000000000001">
      <c r="A1" s="20"/>
      <c r="B1" s="41" t="s">
        <v>73</v>
      </c>
      <c r="C1" s="42"/>
      <c r="D1" s="42"/>
      <c r="E1" s="43"/>
      <c r="H1"/>
    </row>
    <row r="2" spans="1:13" ht="18.5" customHeight="1" x14ac:dyDescent="1.1000000000000001">
      <c r="B2" s="44"/>
      <c r="C2" s="29"/>
      <c r="D2" s="29"/>
      <c r="E2" s="30"/>
      <c r="H2"/>
      <c r="L2" s="31" t="s">
        <v>56</v>
      </c>
      <c r="M2" s="24"/>
    </row>
    <row r="3" spans="1:13" x14ac:dyDescent="1.1000000000000001">
      <c r="B3" t="s">
        <v>28</v>
      </c>
      <c r="C3" s="9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L3" s="2" t="s">
        <v>65</v>
      </c>
      <c r="M3" s="4">
        <v>900</v>
      </c>
    </row>
    <row r="4" spans="1:13" x14ac:dyDescent="1.1000000000000001">
      <c r="A4">
        <v>0</v>
      </c>
      <c r="B4">
        <v>860</v>
      </c>
      <c r="C4">
        <f>4*$M$3*10^3*100*0.001*SQRT(1-4*A4^2/(BASE限界!$L$13*BASE限界!$L$13*4))/(PI()*BASE限界!$L$13*2)</f>
        <v>5.2564935333103051</v>
      </c>
      <c r="D4" s="19">
        <v>0.82592873093853802</v>
      </c>
      <c r="E4">
        <v>1.3565399251697741</v>
      </c>
      <c r="F4">
        <v>1.213353155216876E-2</v>
      </c>
      <c r="G4">
        <v>-0.19417112794794961</v>
      </c>
      <c r="H4">
        <v>0.38649396942407022</v>
      </c>
      <c r="I4" s="18">
        <f>1/2*BASE限界!$F$4*(BASE限界!$F$5^2)*B4/1000*E4*0.1</f>
        <v>5.5969563141683967</v>
      </c>
      <c r="J4" s="18">
        <f>1/2*BASE限界!$F$4*(BASE限界!$F$5^2)*B4/1000*F4*0.1</f>
        <v>5.006181150589667E-2</v>
      </c>
      <c r="L4" s="2" t="s">
        <v>66</v>
      </c>
      <c r="M4" s="3">
        <f>SUM(I4:I181)*2</f>
        <v>909.49248387976741</v>
      </c>
    </row>
    <row r="5" spans="1:13" x14ac:dyDescent="1.1000000000000001">
      <c r="A5">
        <v>100</v>
      </c>
      <c r="B5">
        <v>860</v>
      </c>
      <c r="C5">
        <f>4*$M$3*10^3*100*0.001*SQRT(1-4*A5^2/(BASE限界!$L$13*BASE限界!$L$13*4))/(PI()*BASE限界!$L$13*2)</f>
        <v>5.2562723143832324</v>
      </c>
      <c r="D5" s="19">
        <v>0.82619387608860173</v>
      </c>
      <c r="E5">
        <v>1.356525252008288</v>
      </c>
      <c r="F5">
        <v>1.213305429089865E-2</v>
      </c>
      <c r="G5">
        <v>-0.19417376136380371</v>
      </c>
      <c r="H5">
        <v>0.38649792856567461</v>
      </c>
      <c r="I5">
        <f>1/2*BASE限界!$F$4*(BASE限界!$F$5^2)*(B5+B4)/2000*E5*0.1</f>
        <v>5.5968957740823262</v>
      </c>
      <c r="J5">
        <f>1/2*BASE限界!$F$4*(BASE限界!$F$5^2)*(B5+B4)/2000*F5*0.1</f>
        <v>5.0059842370724396E-2</v>
      </c>
      <c r="L5" s="2" t="s">
        <v>67</v>
      </c>
      <c r="M5" s="3">
        <f>SUM(J4:J181)*2</f>
        <v>8.5317610744986343</v>
      </c>
    </row>
    <row r="6" spans="1:13" x14ac:dyDescent="1.1000000000000001">
      <c r="A6">
        <v>200</v>
      </c>
      <c r="B6">
        <v>860</v>
      </c>
      <c r="C6">
        <f>4*$M$3*10^3*100*0.001*SQRT(1-4*A6^2/(BASE限界!$L$13*BASE限界!$L$13*4))/(PI()*BASE限界!$L$13*2)</f>
        <v>5.2556086017327699</v>
      </c>
      <c r="D6" s="19">
        <v>0.82738957856634121</v>
      </c>
      <c r="E6">
        <v>1.356459081702923</v>
      </c>
      <c r="F6">
        <v>1.213090202643872E-2</v>
      </c>
      <c r="G6">
        <v>-0.19418563705476341</v>
      </c>
      <c r="H6">
        <v>0.38651578276902299</v>
      </c>
      <c r="I6">
        <f>1/2*BASE限界!$F$4*(BASE限界!$F$5^2)*(B6+B5)/2000*E6*0.1</f>
        <v>5.5966227616176347</v>
      </c>
      <c r="J6">
        <f>1/2*BASE限界!$F$4*(BASE限界!$F$5^2)*(B6+B5)/2000*F6*0.1</f>
        <v>5.0050962329720616E-2</v>
      </c>
      <c r="L6" s="2" t="s">
        <v>68</v>
      </c>
      <c r="M6" s="3">
        <f>$M$4/BASE限界!$Q$13/BASE限界!$F$4/BASE限界!$F$5^2</f>
        <v>1.2385584875154163</v>
      </c>
    </row>
    <row r="7" spans="1:13" x14ac:dyDescent="1.1000000000000001">
      <c r="A7">
        <v>300</v>
      </c>
      <c r="B7">
        <v>860</v>
      </c>
      <c r="C7">
        <f>4*$M$3*10^3*100*0.001*SQRT(1-4*A7^2/(BASE限界!$L$13*BASE限界!$L$13*4))/(PI()*BASE限界!$L$13*2)</f>
        <v>5.2545022276806117</v>
      </c>
      <c r="D7" s="19">
        <v>0.82940245475804253</v>
      </c>
      <c r="E7">
        <v>1.3563476889152151</v>
      </c>
      <c r="F7">
        <v>1.2127278849293649E-2</v>
      </c>
      <c r="G7">
        <v>-0.19420562889724741</v>
      </c>
      <c r="H7">
        <v>0.38654583899246547</v>
      </c>
      <c r="I7">
        <f>1/2*BASE限界!$F$4*(BASE限界!$F$5^2)*(B7+B6)/2000*E7*0.1</f>
        <v>5.5961631654384538</v>
      </c>
      <c r="J7">
        <f>1/2*BASE限界!$F$4*(BASE限界!$F$5^2)*(B7+B6)/2000*F7*0.1</f>
        <v>5.0036013441137839E-2</v>
      </c>
      <c r="L7" s="2" t="s">
        <v>21</v>
      </c>
      <c r="M7" s="3">
        <f>BASE限界!$N$8</f>
        <v>31.049261727427151</v>
      </c>
    </row>
    <row r="8" spans="1:13" x14ac:dyDescent="1.1000000000000001">
      <c r="A8">
        <v>400</v>
      </c>
      <c r="B8">
        <v>860</v>
      </c>
      <c r="C8">
        <f>4*$M$3*10^3*100*0.001*SQRT(1-4*A8^2/(BASE限界!$L$13*BASE限界!$L$13*4))/(PI()*BASE限界!$L$13*2)</f>
        <v>5.252952912527463</v>
      </c>
      <c r="D8" s="19">
        <v>0.83197128735723691</v>
      </c>
      <c r="E8">
        <v>1.356205529439356</v>
      </c>
      <c r="F8">
        <v>1.2122654950615101E-2</v>
      </c>
      <c r="G8">
        <v>-0.19423114248665871</v>
      </c>
      <c r="H8">
        <v>0.38658419674487282</v>
      </c>
      <c r="I8">
        <f>1/2*BASE限界!$F$4*(BASE限界!$F$5^2)*(B8+B7)/2000*E8*0.1</f>
        <v>5.5955766287938147</v>
      </c>
      <c r="J8">
        <f>1/2*BASE限界!$F$4*(BASE限界!$F$5^2)*(B8+B7)/2000*F8*0.1</f>
        <v>5.0016935669503708E-2</v>
      </c>
      <c r="L8" s="2" t="s">
        <v>69</v>
      </c>
      <c r="M8" s="3">
        <f>$M$6^2/(BASE限界!$N$8*BASE限界!$N$7*PI())*BASE限界!$F$4*BASE限界!$F$5^2*BASE限界!$Q$13</f>
        <v>11.791910924621686</v>
      </c>
    </row>
    <row r="9" spans="1:13" x14ac:dyDescent="1.1000000000000001">
      <c r="A9">
        <v>500</v>
      </c>
      <c r="B9">
        <v>860</v>
      </c>
      <c r="C9">
        <f>4*$M$3*10^3*100*0.001*SQRT(1-4*A9^2/(BASE限界!$L$13*BASE限界!$L$13*4))/(PI()*BASE限界!$L$13*2)</f>
        <v>5.250960264199132</v>
      </c>
      <c r="D9" s="19">
        <v>0.83571924433206568</v>
      </c>
      <c r="E9">
        <v>1.3559981170921089</v>
      </c>
      <c r="F9">
        <v>1.2115908628060411E-2</v>
      </c>
      <c r="G9">
        <v>-0.19426836711368081</v>
      </c>
      <c r="H9">
        <v>0.38664016115676902</v>
      </c>
      <c r="I9">
        <f>1/2*BASE限界!$F$4*(BASE限界!$F$5^2)*(B9+B8)/2000*E9*0.1</f>
        <v>5.594720864930899</v>
      </c>
      <c r="J9">
        <f>1/2*BASE限界!$F$4*(BASE限界!$F$5^2)*(B9+B8)/2000*F9*0.1</f>
        <v>4.9989100976311644E-2</v>
      </c>
      <c r="L9" s="2" t="s">
        <v>70</v>
      </c>
      <c r="M9" s="3">
        <f>$M$8+$M$5</f>
        <v>20.323671999120322</v>
      </c>
    </row>
    <row r="10" spans="1:13" x14ac:dyDescent="1.1000000000000001">
      <c r="A10">
        <v>600</v>
      </c>
      <c r="B10">
        <v>860</v>
      </c>
      <c r="C10">
        <f>4*$M$3*10^3*100*0.001*SQRT(1-4*A10^2/(BASE限界!$L$13*BASE限界!$L$13*4))/(PI()*BASE限界!$L$13*2)</f>
        <v>5.2485237777495968</v>
      </c>
      <c r="D10" s="19">
        <v>0.84026590162390313</v>
      </c>
      <c r="E10">
        <v>1.355746504582318</v>
      </c>
      <c r="F10">
        <v>1.2107724644935111E-2</v>
      </c>
      <c r="G10">
        <v>-0.19431352441485111</v>
      </c>
      <c r="H10">
        <v>0.38670805174439848</v>
      </c>
      <c r="I10">
        <f>1/2*BASE限界!$F$4*(BASE限界!$F$5^2)*(B10+B9)/2000*E10*0.1</f>
        <v>5.5936827353489624</v>
      </c>
      <c r="J10">
        <f>1/2*BASE限界!$F$4*(BASE限界!$F$5^2)*(B10+B9)/2000*F10*0.1</f>
        <v>4.9955334630641821E-2</v>
      </c>
      <c r="L10" s="2" t="s">
        <v>71</v>
      </c>
      <c r="M10" s="3">
        <f>$M$9+BASE限界!$I$4+BASE限界!$I$5+BASE限界!$I$6</f>
        <v>26.323671999120322</v>
      </c>
    </row>
    <row r="11" spans="1:13" x14ac:dyDescent="1.1000000000000001">
      <c r="A11">
        <v>700</v>
      </c>
      <c r="B11">
        <v>860</v>
      </c>
      <c r="C11">
        <f>4*$M$3*10^3*100*0.001*SQRT(1-4*A11^2/(BASE限界!$L$13*BASE限界!$L$13*4))/(PI()*BASE限界!$L$13*2)</f>
        <v>5.2456428347195718</v>
      </c>
      <c r="D11" s="19">
        <v>0.84545519567445104</v>
      </c>
      <c r="E11">
        <v>1.355459328484298</v>
      </c>
      <c r="F11">
        <v>1.209838391564412E-2</v>
      </c>
      <c r="G11">
        <v>-0.19436506437030859</v>
      </c>
      <c r="H11">
        <v>0.3867855381701088</v>
      </c>
      <c r="I11">
        <f>1/2*BASE限界!$F$4*(BASE限界!$F$5^2)*(B11+B10)/2000*E11*0.1</f>
        <v>5.592497873742408</v>
      </c>
      <c r="J11">
        <f>1/2*BASE限界!$F$4*(BASE限界!$F$5^2)*(B11+B10)/2000*F11*0.1</f>
        <v>4.9916795658943219E-2</v>
      </c>
      <c r="L11" s="2" t="s">
        <v>72</v>
      </c>
      <c r="M11" s="3">
        <f>$M$10*BASE限界!$F$5/BASE限界!$I$7/BASE限界!$I$8</f>
        <v>309.69025881318032</v>
      </c>
    </row>
    <row r="12" spans="1:13" x14ac:dyDescent="1.1000000000000001">
      <c r="A12">
        <v>800</v>
      </c>
      <c r="B12">
        <v>860</v>
      </c>
      <c r="C12">
        <f>4*$M$3*10^3*100*0.001*SQRT(1-4*A12^2/(BASE限界!$L$13*BASE限界!$L$13*4))/(PI()*BASE限界!$L$13*2)</f>
        <v>5.242316702348675</v>
      </c>
      <c r="D12" s="19">
        <v>0.85233199462421638</v>
      </c>
      <c r="E12">
        <v>1.3550787656813379</v>
      </c>
      <c r="F12">
        <v>1.2086005677534539E-2</v>
      </c>
      <c r="G12">
        <v>-0.19443336458766161</v>
      </c>
      <c r="H12">
        <v>0.38688822238221071</v>
      </c>
      <c r="I12">
        <f>1/2*BASE限界!$F$4*(BASE限界!$F$5^2)*(B12+B11)/2000*E12*0.1</f>
        <v>5.5909277073628978</v>
      </c>
      <c r="J12">
        <f>1/2*BASE限界!$F$4*(BASE限界!$F$5^2)*(B12+B11)/2000*F12*0.1</f>
        <v>4.986572421116623E-2</v>
      </c>
    </row>
    <row r="13" spans="1:13" x14ac:dyDescent="1.1000000000000001">
      <c r="A13">
        <v>900</v>
      </c>
      <c r="B13">
        <v>860</v>
      </c>
      <c r="C13">
        <f>4*$M$3*10^3*100*0.001*SQRT(1-4*A13^2/(BASE限界!$L$13*BASE限界!$L$13*4))/(PI()*BASE限界!$L$13*2)</f>
        <v>5.2385445326388327</v>
      </c>
      <c r="D13" s="19">
        <v>0.86009387981006113</v>
      </c>
      <c r="E13">
        <v>1.354649222109662</v>
      </c>
      <c r="F13">
        <v>1.207203428420002E-2</v>
      </c>
      <c r="G13">
        <v>-0.1945104554622292</v>
      </c>
      <c r="H13">
        <v>0.3870041226827074</v>
      </c>
      <c r="I13">
        <f>1/2*BASE限界!$F$4*(BASE限界!$F$5^2)*(B13+B12)/2000*E13*0.1</f>
        <v>5.5891554509323313</v>
      </c>
      <c r="J13">
        <f>1/2*BASE限界!$F$4*(BASE限界!$F$5^2)*(B13+B12)/2000*F13*0.1</f>
        <v>4.9808079554573038E-2</v>
      </c>
    </row>
    <row r="14" spans="1:13" x14ac:dyDescent="1.1000000000000001">
      <c r="A14">
        <v>1000</v>
      </c>
      <c r="B14">
        <v>860</v>
      </c>
      <c r="C14">
        <f>4*$M$3*10^3*100*0.001*SQRT(1-4*A14^2/(BASE限界!$L$13*BASE限界!$L$13*4))/(PI()*BASE限界!$L$13*2)</f>
        <v>5.2343253612661229</v>
      </c>
      <c r="D14" s="19">
        <v>0.86894650041816623</v>
      </c>
      <c r="E14">
        <v>1.3541593171209061</v>
      </c>
      <c r="F14">
        <v>1.2056099567105429E-2</v>
      </c>
      <c r="G14">
        <v>-0.1945983794972482</v>
      </c>
      <c r="H14">
        <v>0.38713630982076691</v>
      </c>
      <c r="I14">
        <f>1/2*BASE限界!$F$4*(BASE限界!$F$5^2)*(B14+B13)/2000*E14*0.1</f>
        <v>5.5871341489645205</v>
      </c>
      <c r="J14">
        <f>1/2*BASE限界!$F$4*(BASE限界!$F$5^2)*(B14+B13)/2000*F14*0.1</f>
        <v>4.9742334408556868E-2</v>
      </c>
    </row>
    <row r="15" spans="1:13" x14ac:dyDescent="1.1000000000000001">
      <c r="A15">
        <v>1100</v>
      </c>
      <c r="B15">
        <v>860</v>
      </c>
      <c r="C15">
        <f>4*$M$3*10^3*100*0.001*SQRT(1-4*A15^2/(BASE限界!$L$13*BASE限界!$L$13*4))/(PI()*BASE限界!$L$13*2)</f>
        <v>5.2296581063377818</v>
      </c>
      <c r="D15" s="19">
        <v>0.88012893749582599</v>
      </c>
      <c r="E15">
        <v>1.3535404798349411</v>
      </c>
      <c r="F15">
        <v>1.2035971180365651E-2</v>
      </c>
      <c r="G15">
        <v>-0.194709443218686</v>
      </c>
      <c r="H15">
        <v>0.38730328572759309</v>
      </c>
      <c r="I15">
        <f>1/2*BASE限界!$F$4*(BASE限界!$F$5^2)*(B15+B14)/2000*E15*0.1</f>
        <v>5.5845808844487772</v>
      </c>
      <c r="J15">
        <f>1/2*BASE限界!$F$4*(BASE限界!$F$5^2)*(B15+B14)/2000*F15*0.1</f>
        <v>4.9659286575487654E-2</v>
      </c>
    </row>
    <row r="16" spans="1:13" ht="18" customHeight="1" x14ac:dyDescent="1.1000000000000001">
      <c r="A16">
        <v>1200</v>
      </c>
      <c r="B16">
        <v>860</v>
      </c>
      <c r="C16">
        <f>4*$M$3*10^3*100*0.001*SQRT(1-4*A16^2/(BASE限界!$L$13*BASE限界!$L$13*4))/(PI()*BASE限界!$L$13*2)</f>
        <v>5.2245415669905837</v>
      </c>
      <c r="D16" s="19">
        <v>0.89277300354468414</v>
      </c>
      <c r="E16">
        <v>1.352840755842496</v>
      </c>
      <c r="F16">
        <v>1.2013211861477699E-2</v>
      </c>
      <c r="G16">
        <v>-0.1948350238072232</v>
      </c>
      <c r="H16" s="17">
        <v>0.38749208664637452</v>
      </c>
      <c r="I16">
        <f>1/2*BASE限界!$F$4*(BASE限界!$F$5^2)*(B16+B15)/2000*E16*0.1</f>
        <v>5.5816938889796237</v>
      </c>
      <c r="J16">
        <f>1/2*BASE限界!$F$4*(BASE限界!$F$5^2)*(B16+B15)/2000*F16*0.1</f>
        <v>4.9565383763493266E-2</v>
      </c>
    </row>
    <row r="17" spans="1:10" x14ac:dyDescent="1.1000000000000001">
      <c r="A17">
        <v>1300</v>
      </c>
      <c r="B17">
        <v>860</v>
      </c>
      <c r="C17">
        <f>4*$M$3*10^3*100*0.001*SQRT(1-4*A17^2/(BASE限界!$L$13*BASE限界!$L$13*4))/(PI()*BASE限界!$L$13*2)</f>
        <v>5.2189744218263421</v>
      </c>
      <c r="D17" s="19">
        <v>0.90765093841845812</v>
      </c>
      <c r="E17">
        <v>1.3519638527370199</v>
      </c>
      <c r="F17">
        <v>1.1986535664803641E-2</v>
      </c>
      <c r="G17">
        <v>-0.19496748925542609</v>
      </c>
      <c r="H17">
        <v>0.38771476407627692</v>
      </c>
      <c r="I17">
        <f>1/2*BASE限界!$F$4*(BASE限界!$F$5^2)*(B17+B16)/2000*E17*0.1</f>
        <v>5.578075869132185</v>
      </c>
      <c r="J17">
        <f>1/2*BASE限界!$F$4*(BASE限界!$F$5^2)*(B17+B16)/2000*F17*0.1</f>
        <v>4.9455320281657902E-2</v>
      </c>
    </row>
    <row r="18" spans="1:10" x14ac:dyDescent="1.1000000000000001">
      <c r="A18">
        <v>1400</v>
      </c>
      <c r="B18">
        <v>860</v>
      </c>
      <c r="C18">
        <f>4*$M$3*10^3*100*0.001*SQRT(1-4*A18^2/(BASE限界!$L$13*BASE限界!$L$13*4))/(PI()*BASE限界!$L$13*2)</f>
        <v>5.2129552271796831</v>
      </c>
      <c r="D18" s="19">
        <v>0.9273151563116443</v>
      </c>
      <c r="E18">
        <v>1.3507379832515629</v>
      </c>
      <c r="F18">
        <v>1.195140759163908E-2</v>
      </c>
      <c r="G18">
        <v>-0.19512346540335571</v>
      </c>
      <c r="H18">
        <v>0.38800972734467459</v>
      </c>
      <c r="I18">
        <f>1/2*BASE限界!$F$4*(BASE限界!$F$5^2)*(B18+B17)/2000*E18*0.1</f>
        <v>5.5730180467786585</v>
      </c>
      <c r="J18">
        <f>1/2*BASE限界!$F$4*(BASE限界!$F$5^2)*(B18+B17)/2000*F18*0.1</f>
        <v>4.9310385151290582E-2</v>
      </c>
    </row>
    <row r="19" spans="1:10" x14ac:dyDescent="1.1000000000000001">
      <c r="A19">
        <v>1500</v>
      </c>
      <c r="B19">
        <v>860</v>
      </c>
      <c r="C19">
        <f>4*$M$3*10^3*100*0.001*SQRT(1-4*A19^2/(BASE限界!$L$13*BASE限界!$L$13*4))/(PI()*BASE限界!$L$13*2)</f>
        <v>5.2064824152127489</v>
      </c>
      <c r="D19" s="19">
        <v>0.93920398058177113</v>
      </c>
      <c r="E19">
        <v>1.3499968326515299</v>
      </c>
      <c r="F19">
        <v>1.193016944776425E-2</v>
      </c>
      <c r="G19">
        <v>-0.19521776729845969</v>
      </c>
      <c r="H19">
        <v>0.38818805970872661</v>
      </c>
      <c r="I19">
        <f>1/2*BASE限界!$F$4*(BASE限界!$F$5^2)*(B19+B18)/2000*E19*0.1</f>
        <v>5.5699601290177156</v>
      </c>
      <c r="J19">
        <f>1/2*BASE限界!$F$4*(BASE限界!$F$5^2)*(B19+B18)/2000*F19*0.1</f>
        <v>4.9222758564519409E-2</v>
      </c>
    </row>
    <row r="20" spans="1:10" x14ac:dyDescent="1.1000000000000001">
      <c r="A20">
        <v>1600</v>
      </c>
      <c r="B20">
        <v>857.03703703703707</v>
      </c>
      <c r="C20">
        <f>4*$M$3*10^3*100*0.001*SQRT(1-4*A20^2/(BASE限界!$L$13*BASE限界!$L$13*4))/(PI()*BASE限界!$L$13*2)</f>
        <v>5.199554291830828</v>
      </c>
      <c r="D20" s="19">
        <v>0.92538904031971647</v>
      </c>
      <c r="E20">
        <v>1.350858057532309</v>
      </c>
      <c r="F20">
        <v>1.1954848396854701E-2</v>
      </c>
      <c r="G20">
        <v>-0.1951081874932695</v>
      </c>
      <c r="H20">
        <v>0.38798083560479568</v>
      </c>
      <c r="I20">
        <f>1/2*BASE限界!$F$4*(BASE限界!$F$5^2)*(B20+B19)/2000*E20*0.1</f>
        <v>5.5639122329353361</v>
      </c>
      <c r="J20">
        <f>1/2*BASE限界!$F$4*(BASE限界!$F$5^2)*(B20+B19)/2000*F20*0.1</f>
        <v>4.9239612457622234E-2</v>
      </c>
    </row>
    <row r="21" spans="1:10" x14ac:dyDescent="1.1000000000000001">
      <c r="A21">
        <v>1700</v>
      </c>
      <c r="B21">
        <v>854.07407407407402</v>
      </c>
      <c r="C21">
        <f>4*$M$3*10^3*100*0.001*SQRT(1-4*A21^2/(BASE限界!$L$13*BASE限界!$L$13*4))/(PI()*BASE限界!$L$13*2)</f>
        <v>5.192169034412343</v>
      </c>
      <c r="D21" s="19">
        <v>0.91020114646126393</v>
      </c>
      <c r="E21">
        <v>1.351804872489841</v>
      </c>
      <c r="F21">
        <v>1.198197998426759E-2</v>
      </c>
      <c r="G21">
        <v>-0.19498771745006349</v>
      </c>
      <c r="H21">
        <v>0.38775301719691901</v>
      </c>
      <c r="I21">
        <f>1/2*BASE限界!$F$4*(BASE限界!$F$5^2)*(B21+B20)/2000*E21*0.1</f>
        <v>5.5485960559496981</v>
      </c>
      <c r="J21">
        <f>1/2*BASE限界!$F$4*(BASE限界!$F$5^2)*(B21+B20)/2000*F21*0.1</f>
        <v>4.9181038059673811E-2</v>
      </c>
    </row>
    <row r="22" spans="1:10" x14ac:dyDescent="1.1000000000000001">
      <c r="A22">
        <v>1800</v>
      </c>
      <c r="B22">
        <v>851.11111111111109</v>
      </c>
      <c r="C22">
        <f>4*$M$3*10^3*100*0.001*SQRT(1-4*A22^2/(BASE限界!$L$13*BASE限界!$L$13*4))/(PI()*BASE限界!$L$13*2)</f>
        <v>5.1843246893459174</v>
      </c>
      <c r="D22" s="19">
        <v>0.89520487890663025</v>
      </c>
      <c r="E22">
        <v>1.3527061755950649</v>
      </c>
      <c r="F22">
        <v>1.20088344858262E-2</v>
      </c>
      <c r="G22">
        <v>-0.1948591771403379</v>
      </c>
      <c r="H22">
        <v>0.38752839935629901</v>
      </c>
      <c r="I22">
        <f>1/2*BASE限界!$F$4*(BASE限界!$F$5^2)*(B22+B21)/2000*E22*0.1</f>
        <v>5.5330668007502446</v>
      </c>
      <c r="J22">
        <f>1/2*BASE限界!$F$4*(BASE限界!$F$5^2)*(B22+B21)/2000*F22*0.1</f>
        <v>4.9120558926996585E-2</v>
      </c>
    </row>
    <row r="23" spans="1:10" x14ac:dyDescent="1.1000000000000001">
      <c r="A23">
        <v>1900</v>
      </c>
      <c r="B23">
        <v>848.14814814814815</v>
      </c>
      <c r="C23">
        <f>4*$M$3*10^3*100*0.001*SQRT(1-4*A23^2/(BASE限界!$L$13*BASE限界!$L$13*4))/(PI()*BASE限界!$L$13*2)</f>
        <v>5.17601916936656</v>
      </c>
      <c r="D23" s="19">
        <v>0.88353197381971904</v>
      </c>
      <c r="E23">
        <v>1.3533521554340879</v>
      </c>
      <c r="F23">
        <v>1.202984571498264E-2</v>
      </c>
      <c r="G23">
        <v>-0.1947432421013173</v>
      </c>
      <c r="H23">
        <v>0.38735409979184388</v>
      </c>
      <c r="I23">
        <f>1/2*BASE限界!$F$4*(BASE限界!$F$5^2)*(B23+B22)/2000*E23*0.1</f>
        <v>5.5164711846526977</v>
      </c>
      <c r="J23">
        <f>1/2*BASE限界!$F$4*(BASE限界!$F$5^2)*(B23+B22)/2000*F23*0.1</f>
        <v>4.9035498244899708E-2</v>
      </c>
    </row>
    <row r="24" spans="1:10" x14ac:dyDescent="1.1000000000000001">
      <c r="A24">
        <v>2000</v>
      </c>
      <c r="B24">
        <v>845.18518518518522</v>
      </c>
      <c r="C24">
        <f>4*$M$3*10^3*100*0.001*SQRT(1-4*A24^2/(BASE限界!$L$13*BASE限界!$L$13*4))/(PI()*BASE限界!$L$13*2)</f>
        <v>5.1672502506822484</v>
      </c>
      <c r="D24" s="19">
        <v>0.87379143934893222</v>
      </c>
      <c r="E24">
        <v>1.353891197672725</v>
      </c>
      <c r="F24">
        <v>1.2047378677030049E-2</v>
      </c>
      <c r="G24">
        <v>-0.19464649932515801</v>
      </c>
      <c r="H24">
        <v>0.38720865434333063</v>
      </c>
      <c r="I24">
        <f>1/2*BASE限界!$F$4*(BASE限界!$F$5^2)*(B24+B23)/2000*E24*0.1</f>
        <v>5.4994228293780374</v>
      </c>
      <c r="J24">
        <f>1/2*BASE限界!$F$4*(BASE限界!$F$5^2)*(B24+B23)/2000*F24*0.1</f>
        <v>4.8935711706013074E-2</v>
      </c>
    </row>
    <row r="25" spans="1:10" x14ac:dyDescent="1.1000000000000001">
      <c r="A25">
        <v>2100</v>
      </c>
      <c r="B25">
        <v>842.22222222222217</v>
      </c>
      <c r="C25">
        <f>4*$M$3*10^3*100*0.001*SQRT(1-4*A25^2/(BASE限界!$L$13*BASE限界!$L$13*4))/(PI()*BASE限界!$L$13*2)</f>
        <v>5.1580155698813703</v>
      </c>
      <c r="D25" s="19">
        <v>0.865376098429538</v>
      </c>
      <c r="E25">
        <v>1.3543569035558749</v>
      </c>
      <c r="F25">
        <v>1.2062526290684959E-2</v>
      </c>
      <c r="G25">
        <v>-0.19456291834248091</v>
      </c>
      <c r="H25">
        <v>0.3870829966560565</v>
      </c>
      <c r="I25">
        <f>1/2*BASE限界!$F$4*(BASE限界!$F$5^2)*(B25+B24)/2000*E25*0.1</f>
        <v>5.4820623038323424</v>
      </c>
      <c r="J25">
        <f>1/2*BASE限界!$F$4*(BASE限界!$F$5^2)*(B25+B24)/2000*F25*0.1</f>
        <v>4.8825771473924084E-2</v>
      </c>
    </row>
    <row r="26" spans="1:10" x14ac:dyDescent="1.1000000000000001">
      <c r="A26">
        <v>2200</v>
      </c>
      <c r="B26">
        <v>839.25925925925924</v>
      </c>
      <c r="C26">
        <f>4*$M$3*10^3*100*0.001*SQRT(1-4*A26^2/(BASE限界!$L$13*BASE限界!$L$13*4))/(PI()*BASE限界!$L$13*2)</f>
        <v>5.1483126206106338</v>
      </c>
      <c r="D26" s="19">
        <v>0.85899600351558103</v>
      </c>
      <c r="E26">
        <v>1.3547099787033881</v>
      </c>
      <c r="F26">
        <v>1.2074010461530079E-2</v>
      </c>
      <c r="G26">
        <v>-0.19449955137879041</v>
      </c>
      <c r="H26">
        <v>0.38698772921779628</v>
      </c>
      <c r="I26">
        <f>1/2*BASE限界!$F$4*(BASE限界!$F$5^2)*(B26+B25)/2000*E26*0.1</f>
        <v>5.4642342412291347</v>
      </c>
      <c r="J26">
        <f>1/2*BASE限界!$F$4*(BASE限界!$F$5^2)*(B26+B25)/2000*F26*0.1</f>
        <v>4.8700624067150713E-2</v>
      </c>
    </row>
    <row r="27" spans="1:10" x14ac:dyDescent="1.1000000000000001">
      <c r="A27">
        <v>2300</v>
      </c>
      <c r="B27">
        <v>836.2962962962963</v>
      </c>
      <c r="C27">
        <f>4*$M$3*10^3*100*0.001*SQRT(1-4*A27^2/(BASE限界!$L$13*BASE限界!$L$13*4))/(PI()*BASE限界!$L$13*2)</f>
        <v>5.1381387500121116</v>
      </c>
      <c r="D27" s="19">
        <v>0.85386701706311596</v>
      </c>
      <c r="E27">
        <v>1.354993817372361</v>
      </c>
      <c r="F27">
        <v>1.208324263714452E-2</v>
      </c>
      <c r="G27">
        <v>-0.19444861039708319</v>
      </c>
      <c r="H27">
        <v>0.3869111433038267</v>
      </c>
      <c r="I27">
        <f>1/2*BASE限界!$F$4*(BASE限界!$F$5^2)*(B27+B26)/2000*E27*0.1</f>
        <v>5.4461178589648451</v>
      </c>
      <c r="J27">
        <f>1/2*BASE限界!$F$4*(BASE限界!$F$5^2)*(B27+B26)/2000*F27*0.1</f>
        <v>4.8566098735396752E-2</v>
      </c>
    </row>
    <row r="28" spans="1:10" x14ac:dyDescent="1.1000000000000001">
      <c r="A28">
        <v>2400</v>
      </c>
      <c r="B28">
        <v>833.33333333333337</v>
      </c>
      <c r="C28">
        <f>4*$M$3*10^3*100*0.001*SQRT(1-4*A28^2/(BASE限界!$L$13*BASE限界!$L$13*4))/(PI()*BASE限界!$L$13*2)</f>
        <v>5.1274911549071005</v>
      </c>
      <c r="D28" s="19">
        <v>0.84973301733752837</v>
      </c>
      <c r="E28">
        <v>1.355222593367486</v>
      </c>
      <c r="F28">
        <v>1.209068383665058E-2</v>
      </c>
      <c r="G28">
        <v>-0.19440755160187079</v>
      </c>
      <c r="H28">
        <v>0.38684941450998639</v>
      </c>
      <c r="I28">
        <f>1/2*BASE限界!$F$4*(BASE限界!$F$5^2)*(B28+B27)/2000*E28*0.1</f>
        <v>5.4277728768312521</v>
      </c>
      <c r="J28">
        <f>1/2*BASE限界!$F$4*(BASE限界!$F$5^2)*(B28+B27)/2000*F28*0.1</f>
        <v>4.8424137932829486E-2</v>
      </c>
    </row>
    <row r="29" spans="1:10" x14ac:dyDescent="1.1000000000000001">
      <c r="A29">
        <v>2500</v>
      </c>
      <c r="B29">
        <v>830.37037037037032</v>
      </c>
      <c r="C29">
        <f>4*$M$3*10^3*100*0.001*SQRT(1-4*A29^2/(BASE限界!$L$13*BASE限界!$L$13*4))/(PI()*BASE限界!$L$13*2)</f>
        <v>5.1163668777133529</v>
      </c>
      <c r="D29" s="19">
        <v>0.8473224794798313</v>
      </c>
      <c r="E29">
        <v>1.355355992795108</v>
      </c>
      <c r="F29">
        <v>1.2095022804794429E-2</v>
      </c>
      <c r="G29">
        <v>-0.19438361019238351</v>
      </c>
      <c r="H29">
        <v>0.38681342041121058</v>
      </c>
      <c r="I29">
        <f>1/2*BASE限界!$F$4*(BASE限界!$F$5^2)*(B29+B28)/2000*E29*0.1</f>
        <v>5.4090407557308353</v>
      </c>
      <c r="J29">
        <f>1/2*BASE限界!$F$4*(BASE限界!$F$5^2)*(B29+B28)/2000*F29*0.1</f>
        <v>4.8269584994941626E-2</v>
      </c>
    </row>
    <row r="30" spans="1:10" x14ac:dyDescent="1.1000000000000001">
      <c r="A30">
        <v>2600</v>
      </c>
      <c r="B30">
        <v>827.40740740740739</v>
      </c>
      <c r="C30">
        <f>4*$M$3*10^3*100*0.001*SQRT(1-4*A30^2/(BASE限界!$L$13*BASE限界!$L$13*4))/(PI()*BASE限界!$L$13*2)</f>
        <v>5.1047628020811331</v>
      </c>
      <c r="D30" s="19">
        <v>0.84599976705546132</v>
      </c>
      <c r="E30">
        <v>1.355429191844753</v>
      </c>
      <c r="F30">
        <v>1.20974036871583E-2</v>
      </c>
      <c r="G30">
        <v>-0.1943704730414009</v>
      </c>
      <c r="H30">
        <v>0.38679366969810608</v>
      </c>
      <c r="I30">
        <f>1/2*BASE限界!$F$4*(BASE限界!$F$5^2)*(B30+B29)/2000*E30*0.1</f>
        <v>5.3900654463404996</v>
      </c>
      <c r="J30">
        <f>1/2*BASE限界!$F$4*(BASE限界!$F$5^2)*(B30+B29)/2000*F30*0.1</f>
        <v>4.8107122081263685E-2</v>
      </c>
    </row>
    <row r="31" spans="1:10" x14ac:dyDescent="1.1000000000000001">
      <c r="A31">
        <v>2700</v>
      </c>
      <c r="B31">
        <v>824.44444444444446</v>
      </c>
      <c r="C31">
        <f>4*$M$3*10^3*100*0.001*SQRT(1-4*A31^2/(BASE限界!$L$13*BASE限界!$L$13*4))/(PI()*BASE限界!$L$13*2)</f>
        <v>5.0926756482322117</v>
      </c>
      <c r="D31" s="19">
        <v>0.84563274966751611</v>
      </c>
      <c r="E31">
        <v>1.3554495026269811</v>
      </c>
      <c r="F31">
        <v>1.20980643184566E-2</v>
      </c>
      <c r="G31">
        <v>-0.1943668278326996</v>
      </c>
      <c r="H31">
        <v>0.38678818940246512</v>
      </c>
      <c r="I31">
        <f>1/2*BASE限界!$F$4*(BASE限界!$F$5^2)*(B31+B30)/2000*E31*0.1</f>
        <v>5.370878489658498</v>
      </c>
      <c r="J31">
        <f>1/2*BASE限界!$F$4*(BASE限界!$F$5^2)*(B31+B30)/2000*F31*0.1</f>
        <v>4.7937775098645816E-2</v>
      </c>
    </row>
    <row r="32" spans="1:10" x14ac:dyDescent="1.1000000000000001">
      <c r="A32">
        <v>2800</v>
      </c>
      <c r="B32">
        <v>821.48148148148152</v>
      </c>
      <c r="C32">
        <f>4*$M$3*10^3*100*0.001*SQRT(1-4*A32^2/(BASE限界!$L$13*BASE限界!$L$13*4))/(PI()*BASE限界!$L$13*2)</f>
        <v>5.0801019679845751</v>
      </c>
      <c r="D32" s="19">
        <v>0.84705494541541793</v>
      </c>
      <c r="E32">
        <v>1.3553707981593739</v>
      </c>
      <c r="F32">
        <v>1.209550436611038E-2</v>
      </c>
      <c r="G32">
        <v>-0.1943809530498842</v>
      </c>
      <c r="H32">
        <v>0.38680942559838921</v>
      </c>
      <c r="I32">
        <f>1/2*BASE限界!$F$4*(BASE限界!$F$5^2)*(B32+B31)/2000*E32*0.1</f>
        <v>5.3513000217022251</v>
      </c>
      <c r="J32">
        <f>1/2*BASE限界!$F$4*(BASE限界!$F$5^2)*(B32+B31)/2000*F32*0.1</f>
        <v>4.7755693766433661E-2</v>
      </c>
    </row>
    <row r="33" spans="1:10" x14ac:dyDescent="1.1000000000000001">
      <c r="A33">
        <v>2900</v>
      </c>
      <c r="B33">
        <v>818.51851851851848</v>
      </c>
      <c r="C33">
        <f>4*$M$3*10^3*100*0.001*SQRT(1-4*A33^2/(BASE限界!$L$13*BASE限界!$L$13*4))/(PI()*BASE限界!$L$13*2)</f>
        <v>5.0670381394441213</v>
      </c>
      <c r="D33" s="19">
        <v>0.84967944683784724</v>
      </c>
      <c r="E33">
        <v>1.3552255579647741</v>
      </c>
      <c r="F33">
        <v>1.2090780263550011E-2</v>
      </c>
      <c r="G33">
        <v>-0.19440701954083511</v>
      </c>
      <c r="H33">
        <v>0.38684861459645231</v>
      </c>
      <c r="I33">
        <f>1/2*BASE限界!$F$4*(BASE限界!$F$5^2)*(B33+B32)/2000*E33*0.1</f>
        <v>5.3314620395347552</v>
      </c>
      <c r="J33">
        <f>1/2*BASE限界!$F$4*(BASE限界!$F$5^2)*(B33+B32)/2000*F33*0.1</f>
        <v>4.7565171439268583E-2</v>
      </c>
    </row>
    <row r="34" spans="1:10" x14ac:dyDescent="1.1000000000000001">
      <c r="A34">
        <v>3000</v>
      </c>
      <c r="B34">
        <v>815.55555555555554</v>
      </c>
      <c r="C34">
        <f>4*$M$3*10^3*100*0.001*SQRT(1-4*A34^2/(BASE限界!$L$13*BASE限界!$L$13*4))/(PI()*BASE限界!$L$13*2)</f>
        <v>5.0534803613429755</v>
      </c>
      <c r="D34" s="19">
        <v>0.85342367023929455</v>
      </c>
      <c r="E34">
        <v>1.355018352233885</v>
      </c>
      <c r="F34">
        <v>1.20840406614274E-2</v>
      </c>
      <c r="G34">
        <v>-0.1944442070860877</v>
      </c>
      <c r="H34">
        <v>0.38690452325871211</v>
      </c>
      <c r="I34">
        <f>1/2*BASE限界!$F$4*(BASE限界!$F$5^2)*(B34+B33)/2000*E34*0.1</f>
        <v>5.3113852947545244</v>
      </c>
      <c r="J34">
        <f>1/2*BASE限界!$F$4*(BASE限界!$F$5^2)*(B34+B33)/2000*F34*0.1</f>
        <v>4.7366883086497724E-2</v>
      </c>
    </row>
    <row r="35" spans="1:10" x14ac:dyDescent="1.1000000000000001">
      <c r="A35">
        <v>3100</v>
      </c>
      <c r="B35">
        <v>812.59259259259261</v>
      </c>
      <c r="C35">
        <f>4*$M$3*10^3*100*0.001*SQRT(1-4*A35^2/(BASE限界!$L$13*BASE限界!$L$13*4))/(PI()*BASE限界!$L$13*2)</f>
        <v>5.0394246470022903</v>
      </c>
      <c r="D35" s="19">
        <v>0.85936081995727298</v>
      </c>
      <c r="E35">
        <v>1.354689789721766</v>
      </c>
      <c r="F35">
        <v>1.207335379193504E-2</v>
      </c>
      <c r="G35">
        <v>-0.19450317472774151</v>
      </c>
      <c r="H35">
        <v>0.38699317664895577</v>
      </c>
      <c r="I35">
        <f>1/2*BASE限界!$F$4*(BASE限界!$F$5^2)*(B35+B34)/2000*E35*0.1</f>
        <v>5.2908404730140335</v>
      </c>
      <c r="J35">
        <f>1/2*BASE限界!$F$4*(BASE限界!$F$5^2)*(B35+B34)/2000*F35*0.1</f>
        <v>4.7153369998091617E-2</v>
      </c>
    </row>
    <row r="36" spans="1:10" x14ac:dyDescent="1.1000000000000001">
      <c r="A36">
        <v>3200</v>
      </c>
      <c r="B36">
        <v>809.62962962962968</v>
      </c>
      <c r="C36">
        <f>4*$M$3*10^3*100*0.001*SQRT(1-4*A36^2/(BASE限界!$L$13*BASE限界!$L$13*4))/(PI()*BASE限界!$L$13*2)</f>
        <v>5.0248668178954139</v>
      </c>
      <c r="D36" s="19">
        <v>0.86695654744636685</v>
      </c>
      <c r="E36">
        <v>1.3542694413351279</v>
      </c>
      <c r="F36">
        <v>1.2059681482454669E-2</v>
      </c>
      <c r="G36">
        <v>-0.19457861532768481</v>
      </c>
      <c r="H36">
        <v>0.38710659588634461</v>
      </c>
      <c r="I36">
        <f>1/2*BASE限界!$F$4*(BASE限界!$F$5^2)*(B36+B35)/2000*E36*0.1</f>
        <v>5.2699478205735346</v>
      </c>
      <c r="J36">
        <f>1/2*BASE限界!$F$4*(BASE限界!$F$5^2)*(B36+B35)/2000*F36*0.1</f>
        <v>4.6928543320461688E-2</v>
      </c>
    </row>
    <row r="37" spans="1:10" x14ac:dyDescent="1.1000000000000001">
      <c r="A37">
        <v>3300</v>
      </c>
      <c r="B37">
        <v>806.66666666666663</v>
      </c>
      <c r="C37">
        <f>4*$M$3*10^3*100*0.001*SQRT(1-4*A37^2/(BASE限界!$L$13*BASE限界!$L$13*4))/(PI()*BASE限界!$L$13*2)</f>
        <v>5.0098024967852597</v>
      </c>
      <c r="D37" s="19">
        <v>0.87612902462781628</v>
      </c>
      <c r="E37">
        <v>1.3537618354487611</v>
      </c>
      <c r="F37">
        <v>1.204317102352806E-2</v>
      </c>
      <c r="G37">
        <v>-0.19466971617122189</v>
      </c>
      <c r="H37">
        <v>0.38724355911578889</v>
      </c>
      <c r="I37">
        <f>1/2*BASE限界!$F$4*(BASE限界!$F$5^2)*(B37+B36)/2000*E37*0.1</f>
        <v>5.2487288088024293</v>
      </c>
      <c r="J37">
        <f>1/2*BASE限界!$F$4*(BASE限界!$F$5^2)*(B37+B36)/2000*F37*0.1</f>
        <v>4.6693101434324535E-2</v>
      </c>
    </row>
    <row r="38" spans="1:10" x14ac:dyDescent="1.1000000000000001">
      <c r="A38">
        <v>3400</v>
      </c>
      <c r="B38">
        <v>803.7037037037037</v>
      </c>
      <c r="C38">
        <f>4*$M$3*10^3*100*0.001*SQRT(1-4*A38^2/(BASE限界!$L$13*BASE限界!$L$13*4))/(PI()*BASE限界!$L$13*2)</f>
        <v>4.9942271004072767</v>
      </c>
      <c r="D38" s="19">
        <v>0.8884301024593203</v>
      </c>
      <c r="E38">
        <v>1.353081092461627</v>
      </c>
      <c r="F38">
        <v>1.2021029083431349E-2</v>
      </c>
      <c r="G38">
        <v>-0.1947918902082566</v>
      </c>
      <c r="H38">
        <v>0.38742723854198108</v>
      </c>
      <c r="I38">
        <f>1/2*BASE限界!$F$4*(BASE限界!$F$5^2)*(B38+B37)/2000*E38*0.1</f>
        <v>5.2268554120469934</v>
      </c>
      <c r="J38">
        <f>1/2*BASE限界!$F$4*(BASE限界!$F$5^2)*(B38+B37)/2000*F38*0.1</f>
        <v>4.6436374932117643E-2</v>
      </c>
    </row>
    <row r="39" spans="1:10" x14ac:dyDescent="1.1000000000000001">
      <c r="A39">
        <v>3500</v>
      </c>
      <c r="B39">
        <v>800.74074074074076</v>
      </c>
      <c r="C39">
        <f>4*$M$3*10^3*100*0.001*SQRT(1-4*A39^2/(BASE限界!$L$13*BASE限界!$L$13*4))/(PI()*BASE限界!$L$13*2)</f>
        <v>4.9781358316669442</v>
      </c>
      <c r="D39" s="19">
        <v>0.90360644834005543</v>
      </c>
      <c r="E39">
        <v>1.352215986689068</v>
      </c>
      <c r="F39">
        <v>1.199376072425727E-2</v>
      </c>
      <c r="G39">
        <v>-0.19493540844823631</v>
      </c>
      <c r="H39">
        <v>0.38765409672510082</v>
      </c>
      <c r="I39">
        <f>1/2*BASE限界!$F$4*(BASE限界!$F$5^2)*(B39+B38)/2000*E39*0.1</f>
        <v>5.2042918092998942</v>
      </c>
      <c r="J39">
        <f>1/2*BASE限界!$F$4*(BASE限界!$F$5^2)*(B39+B38)/2000*F39*0.1</f>
        <v>4.6160547807742841E-2</v>
      </c>
    </row>
    <row r="40" spans="1:10" x14ac:dyDescent="1.1000000000000001">
      <c r="A40">
        <v>3600</v>
      </c>
      <c r="B40">
        <v>797.77777777777783</v>
      </c>
      <c r="C40">
        <f>4*$M$3*10^3*100*0.001*SQRT(1-4*A40^2/(BASE限界!$L$13*BASE限界!$L$13*4))/(PI()*BASE限界!$L$13*2)</f>
        <v>4.9615236713178561</v>
      </c>
      <c r="D40" s="19">
        <v>0.92150013641522399</v>
      </c>
      <c r="E40">
        <v>1.351100492225328</v>
      </c>
      <c r="F40">
        <v>1.196179551784517E-2</v>
      </c>
      <c r="G40">
        <v>-0.19507734079222169</v>
      </c>
      <c r="H40">
        <v>0.38792250204622841</v>
      </c>
      <c r="I40">
        <f>1/2*BASE限界!$F$4*(BASE限界!$F$5^2)*(B40+B39)/2000*E40*0.1</f>
        <v>5.1807926864860381</v>
      </c>
      <c r="J40">
        <f>1/2*BASE限界!$F$4*(BASE限界!$F$5^2)*(B40+B39)/2000*F40*0.1</f>
        <v>4.5867485869998857E-2</v>
      </c>
    </row>
    <row r="41" spans="1:10" x14ac:dyDescent="1.1000000000000001">
      <c r="A41">
        <v>3700</v>
      </c>
      <c r="B41">
        <v>794.81481481481478</v>
      </c>
      <c r="C41">
        <f>4*$M$3*10^3*100*0.001*SQRT(1-4*A41^2/(BASE限界!$L$13*BASE限界!$L$13*4))/(PI()*BASE限界!$L$13*2)</f>
        <v>4.9443853690833723</v>
      </c>
      <c r="D41" s="19">
        <v>0.94467675009527041</v>
      </c>
      <c r="E41">
        <v>1.3496556596039171</v>
      </c>
      <c r="F41">
        <v>1.192039291615098E-2</v>
      </c>
      <c r="G41">
        <v>-0.19526117718701261</v>
      </c>
      <c r="H41">
        <v>0.38827015125142911</v>
      </c>
      <c r="I41">
        <f>1/2*BASE限界!$F$4*(BASE限界!$F$5^2)*(B41+B40)/2000*E41*0.1</f>
        <v>5.1560671121008959</v>
      </c>
      <c r="J41">
        <f>1/2*BASE限界!$F$4*(BASE限界!$F$5^2)*(B41+B40)/2000*F41*0.1</f>
        <v>4.5539279179049187E-2</v>
      </c>
    </row>
    <row r="42" spans="1:10" x14ac:dyDescent="1.1000000000000001">
      <c r="A42">
        <v>3800</v>
      </c>
      <c r="B42">
        <v>791.85185185185185</v>
      </c>
      <c r="C42">
        <f>4*$M$3*10^3*100*0.001*SQRT(1-4*A42^2/(BASE限界!$L$13*BASE限界!$L$13*4))/(PI()*BASE限界!$L$13*2)</f>
        <v>4.9267154341813999</v>
      </c>
      <c r="D42" s="19">
        <v>0.97451279528354207</v>
      </c>
      <c r="E42">
        <v>1.347795677296882</v>
      </c>
      <c r="F42">
        <v>1.18670939350266E-2</v>
      </c>
      <c r="G42">
        <v>-0.19549783604744619</v>
      </c>
      <c r="H42">
        <v>0.38871769192925321</v>
      </c>
      <c r="I42">
        <f>1/2*BASE限界!$F$4*(BASE限界!$F$5^2)*(B42+B41)/2000*E42*0.1</f>
        <v>5.1298025262338944</v>
      </c>
      <c r="J42">
        <f>1/2*BASE限界!$F$4*(BASE限界!$F$5^2)*(B42+B41)/2000*F42*0.1</f>
        <v>4.5166971130999642E-2</v>
      </c>
    </row>
    <row r="43" spans="1:10" x14ac:dyDescent="1.1000000000000001">
      <c r="A43">
        <v>3900</v>
      </c>
      <c r="B43">
        <v>788.88888888888891</v>
      </c>
      <c r="C43">
        <f>4*$M$3*10^3*100*0.001*SQRT(1-4*A43^2/(BASE限界!$L$13*BASE限界!$L$13*4))/(PI()*BASE限界!$L$13*2)</f>
        <v>4.9085081252081002</v>
      </c>
      <c r="D43" s="19">
        <v>1.0106840868562079</v>
      </c>
      <c r="E43">
        <v>1.3454994721940621</v>
      </c>
      <c r="F43">
        <v>1.1801336613612431E-2</v>
      </c>
      <c r="G43">
        <v>-0.19577406185732671</v>
      </c>
      <c r="H43">
        <v>0.38926026130284308</v>
      </c>
      <c r="I43">
        <f>1/2*BASE限界!$F$4*(BASE限界!$F$5^2)*(B43+B42)/2000*E43*0.1</f>
        <v>5.101936726809269</v>
      </c>
      <c r="J43">
        <f>1/2*BASE限界!$F$4*(BASE限界!$F$5^2)*(B43+B42)/2000*F43*0.1</f>
        <v>4.4748938174049402E-2</v>
      </c>
    </row>
    <row r="44" spans="1:10" x14ac:dyDescent="1.1000000000000001">
      <c r="A44">
        <v>4000</v>
      </c>
      <c r="B44">
        <v>785.92592592592587</v>
      </c>
      <c r="C44">
        <f>4*$M$3*10^3*100*0.001*SQRT(1-4*A44^2/(BASE限界!$L$13*BASE限界!$L$13*4))/(PI()*BASE限界!$L$13*2)</f>
        <v>4.8897574393321266</v>
      </c>
      <c r="D44" s="19">
        <v>1.0585288548974121</v>
      </c>
      <c r="E44">
        <v>1.342331954043664</v>
      </c>
      <c r="F44">
        <v>1.171075700299009E-2</v>
      </c>
      <c r="G44">
        <v>-0.1961057207470556</v>
      </c>
      <c r="H44">
        <v>0.38997793282346122</v>
      </c>
      <c r="I44">
        <f>1/2*BASE限界!$F$4*(BASE限界!$F$5^2)*(B44+B43)/2000*E44*0.1</f>
        <v>5.0708447029264141</v>
      </c>
      <c r="J44">
        <f>1/2*BASE限界!$F$4*(BASE限界!$F$5^2)*(B44+B43)/2000*F44*0.1</f>
        <v>4.4239005066506111E-2</v>
      </c>
    </row>
    <row r="45" spans="1:10" x14ac:dyDescent="1.1000000000000001">
      <c r="A45">
        <v>4100</v>
      </c>
      <c r="B45">
        <v>782.96296296296293</v>
      </c>
      <c r="C45">
        <f>4*$M$3*10^3*100*0.001*SQRT(1-4*A45^2/(BASE限界!$L$13*BASE限界!$L$13*4))/(PI()*BASE限界!$L$13*2)</f>
        <v>4.8704571007463988</v>
      </c>
      <c r="D45" s="19">
        <v>1.134751300693942</v>
      </c>
      <c r="E45">
        <v>1.3371608961308681</v>
      </c>
      <c r="F45">
        <v>1.1573166710250051E-2</v>
      </c>
      <c r="G45">
        <v>-0.1966064333166502</v>
      </c>
      <c r="H45">
        <v>0.3910888820552445</v>
      </c>
      <c r="I45">
        <f>1/2*BASE限界!$F$4*(BASE限界!$F$5^2)*(B45+B44)/2000*E45*0.1</f>
        <v>5.0323025632747296</v>
      </c>
      <c r="J45">
        <f>1/2*BASE限界!$F$4*(BASE限界!$F$5^2)*(B45+B44)/2000*F45*0.1</f>
        <v>4.3554726039114727E-2</v>
      </c>
    </row>
    <row r="46" spans="1:10" x14ac:dyDescent="1.1000000000000001">
      <c r="A46">
        <v>4200</v>
      </c>
      <c r="B46">
        <v>780</v>
      </c>
      <c r="C46">
        <f>4*$M$3*10^3*100*0.001*SQRT(1-4*A46^2/(BASE限界!$L$13*BASE限界!$L$13*4))/(PI()*BASE限界!$L$13*2)</f>
        <v>4.8506005483192887</v>
      </c>
      <c r="D46" s="19">
        <v>1.0578136889075</v>
      </c>
      <c r="E46">
        <v>1.342379300939601</v>
      </c>
      <c r="F46">
        <v>1.1712110953684161E-2</v>
      </c>
      <c r="G46">
        <v>-0.19610076323199391</v>
      </c>
      <c r="H46">
        <v>0.38996720533361251</v>
      </c>
      <c r="I46">
        <f>1/2*BASE限界!$F$4*(BASE限界!$F$5^2)*(B46+B45)/2000*E46*0.1</f>
        <v>5.0328596973737092</v>
      </c>
      <c r="J46">
        <f>1/2*BASE限界!$F$4*(BASE限界!$F$5^2)*(B46+B45)/2000*F46*0.1</f>
        <v>4.3911144300800238E-2</v>
      </c>
    </row>
    <row r="47" spans="1:10" x14ac:dyDescent="1.1000000000000001">
      <c r="A47">
        <v>4300</v>
      </c>
      <c r="B47">
        <v>775.55555555555554</v>
      </c>
      <c r="C47">
        <f>4*$M$3*10^3*100*0.001*SQRT(1-4*A47^2/(BASE限界!$L$13*BASE限界!$L$13*4))/(PI()*BASE限界!$L$13*2)</f>
        <v>4.8301809223813708</v>
      </c>
      <c r="D47" s="19">
        <v>0.57527180011153345</v>
      </c>
      <c r="E47">
        <v>1.2917680541617531</v>
      </c>
      <c r="F47">
        <v>1.231521300225662E-2</v>
      </c>
      <c r="G47">
        <v>-0.1785261431830816</v>
      </c>
      <c r="H47">
        <v>0.38262763779961528</v>
      </c>
      <c r="I47">
        <f>1/2*BASE限界!$F$4*(BASE限界!$F$5^2)*(B47+B46)/2000*E47*0.1</f>
        <v>4.8201544713141118</v>
      </c>
      <c r="J47">
        <f>1/2*BASE限界!$F$4*(BASE限界!$F$5^2)*(B47+B46)/2000*F47*0.1</f>
        <v>4.5953473479055262E-2</v>
      </c>
    </row>
    <row r="48" spans="1:10" x14ac:dyDescent="1.1000000000000001">
      <c r="A48">
        <v>4400</v>
      </c>
      <c r="B48">
        <v>771.11111111111109</v>
      </c>
      <c r="C48">
        <f>4*$M$3*10^3*100*0.001*SQRT(1-4*A48^2/(BASE限界!$L$13*BASE限界!$L$13*4))/(PI()*BASE限界!$L$13*2)</f>
        <v>4.8091910505776072</v>
      </c>
      <c r="D48" s="19">
        <v>0.52929320396490065</v>
      </c>
      <c r="E48">
        <v>1.290825390773666</v>
      </c>
      <c r="F48">
        <v>1.2319370754112021E-2</v>
      </c>
      <c r="G48">
        <v>-0.17801277342503821</v>
      </c>
      <c r="H48">
        <v>0.38235571971366022</v>
      </c>
      <c r="I48">
        <f>1/2*BASE限界!$F$4*(BASE限界!$F$5^2)*(B48+B47)/2000*E48*0.1</f>
        <v>4.7891133399336558</v>
      </c>
      <c r="J48">
        <f>1/2*BASE限界!$F$4*(BASE限界!$F$5^2)*(B48+B47)/2000*F48*0.1</f>
        <v>4.5706307948238455E-2</v>
      </c>
    </row>
    <row r="49" spans="1:10" x14ac:dyDescent="1.1000000000000001">
      <c r="A49">
        <v>4500</v>
      </c>
      <c r="B49">
        <v>766.66666666666663</v>
      </c>
      <c r="C49">
        <f>4*$M$3*10^3*100*0.001*SQRT(1-4*A49^2/(BASE限界!$L$13*BASE限界!$L$13*4))/(PI()*BASE限界!$L$13*2)</f>
        <v>4.7876234327076883</v>
      </c>
      <c r="D49" s="19">
        <v>0.54830545771185013</v>
      </c>
      <c r="E49">
        <v>1.2848217145299949</v>
      </c>
      <c r="F49">
        <v>1.224649146670421E-2</v>
      </c>
      <c r="G49">
        <v>-0.17789721100978481</v>
      </c>
      <c r="H49">
        <v>0.38299942008345528</v>
      </c>
      <c r="I49">
        <f>1/2*BASE限界!$F$4*(BASE限界!$F$5^2)*(B49+B48)/2000*E49*0.1</f>
        <v>4.7394433716852662</v>
      </c>
      <c r="J49">
        <f>1/2*BASE限界!$F$4*(BASE限界!$F$5^2)*(B49+B48)/2000*F49*0.1</f>
        <v>4.5174791297408777E-2</v>
      </c>
    </row>
    <row r="50" spans="1:10" x14ac:dyDescent="1.1000000000000001">
      <c r="A50">
        <v>4600</v>
      </c>
      <c r="B50">
        <v>762.22222222222217</v>
      </c>
      <c r="C50">
        <f>4*$M$3*10^3*100*0.001*SQRT(1-4*A50^2/(BASE限界!$L$13*BASE限界!$L$13*4))/(PI()*BASE限界!$L$13*2)</f>
        <v>4.765470224469456</v>
      </c>
      <c r="D50" s="19">
        <v>0.55422041624187546</v>
      </c>
      <c r="E50">
        <v>1.279876396692269</v>
      </c>
      <c r="F50">
        <v>1.219289631422186E-2</v>
      </c>
      <c r="G50">
        <v>-0.17769183621728579</v>
      </c>
      <c r="H50">
        <v>0.38346503604590571</v>
      </c>
      <c r="I50">
        <f>1/2*BASE限界!$F$4*(BASE限界!$F$5^2)*(B50+B49)/2000*E50*0.1</f>
        <v>4.6939109302418789</v>
      </c>
      <c r="J50">
        <f>1/2*BASE限界!$F$4*(BASE限界!$F$5^2)*(B50+B49)/2000*F50*0.1</f>
        <v>4.4717106611657238E-2</v>
      </c>
    </row>
    <row r="51" spans="1:10" x14ac:dyDescent="1.1000000000000001">
      <c r="A51">
        <v>4700</v>
      </c>
      <c r="B51">
        <v>757.77777777777783</v>
      </c>
      <c r="C51">
        <f>4*$M$3*10^3*100*0.001*SQRT(1-4*A51^2/(BASE限界!$L$13*BASE限界!$L$13*4))/(PI()*BASE限界!$L$13*2)</f>
        <v>4.7427232200114089</v>
      </c>
      <c r="D51" s="19">
        <v>0.55463635228228303</v>
      </c>
      <c r="E51">
        <v>1.275373090920308</v>
      </c>
      <c r="F51">
        <v>1.214396933579275E-2</v>
      </c>
      <c r="G51">
        <v>-0.1774629275027873</v>
      </c>
      <c r="H51">
        <v>0.3838561166328574</v>
      </c>
      <c r="I51">
        <f>1/2*BASE限界!$F$4*(BASE限界!$F$5^2)*(B51+B50)/2000*E51*0.1</f>
        <v>4.6502010240919374</v>
      </c>
      <c r="J51">
        <f>1/2*BASE限界!$F$4*(BASE限界!$F$5^2)*(B51+B50)/2000*F51*0.1</f>
        <v>4.4278728353202484E-2</v>
      </c>
    </row>
    <row r="52" spans="1:10" x14ac:dyDescent="1.1000000000000001">
      <c r="A52">
        <v>4800</v>
      </c>
      <c r="B52">
        <v>753.33333333333337</v>
      </c>
      <c r="C52">
        <f>4*$M$3*10^3*100*0.001*SQRT(1-4*A52^2/(BASE限界!$L$13*BASE限界!$L$13*4))/(PI()*BASE限界!$L$13*2)</f>
        <v>4.7193738331904829</v>
      </c>
      <c r="D52" s="19">
        <v>0.55270182796767886</v>
      </c>
      <c r="E52">
        <v>1.271065903829766</v>
      </c>
      <c r="F52">
        <v>1.209651729807165E-2</v>
      </c>
      <c r="G52">
        <v>-0.17722621530931049</v>
      </c>
      <c r="H52">
        <v>0.38421664399079608</v>
      </c>
      <c r="I52">
        <f>1/2*BASE限界!$F$4*(BASE限界!$F$5^2)*(B52+B51)/2000*E52*0.1</f>
        <v>4.6073940578241768</v>
      </c>
      <c r="J52">
        <f>1/2*BASE限界!$F$4*(BASE限界!$F$5^2)*(B52+B51)/2000*F52*0.1</f>
        <v>4.3847782991877873E-2</v>
      </c>
    </row>
    <row r="53" spans="1:10" x14ac:dyDescent="1.1000000000000001">
      <c r="A53">
        <v>4900</v>
      </c>
      <c r="B53">
        <v>748.88888888888891</v>
      </c>
      <c r="C53">
        <f>4*$M$3*10^3*100*0.001*SQRT(1-4*A53^2/(BASE限界!$L$13*BASE限界!$L$13*4))/(PI()*BASE限界!$L$13*2)</f>
        <v>4.6954130774201213</v>
      </c>
      <c r="D53" s="19">
        <v>0.54903145514489471</v>
      </c>
      <c r="E53">
        <v>1.2669049215966179</v>
      </c>
      <c r="F53">
        <v>1.2049958862395011E-2</v>
      </c>
      <c r="G53">
        <v>-0.17698407053694851</v>
      </c>
      <c r="H53">
        <v>0.38455479870530068</v>
      </c>
      <c r="I53">
        <f>1/2*BASE限界!$F$4*(BASE限界!$F$5^2)*(B53+B52)/2000*E53*0.1</f>
        <v>4.5652976215188978</v>
      </c>
      <c r="J53">
        <f>1/2*BASE限界!$F$4*(BASE限界!$F$5^2)*(B53+B52)/2000*F53*0.1</f>
        <v>4.3422081322854154E-2</v>
      </c>
    </row>
    <row r="54" spans="1:10" x14ac:dyDescent="1.1000000000000001">
      <c r="A54">
        <v>5000</v>
      </c>
      <c r="B54">
        <v>744.44444444444446</v>
      </c>
      <c r="C54">
        <f>4*$M$3*10^3*100*0.001*SQRT(1-4*A54^2/(BASE限界!$L$13*BASE限界!$L$13*4))/(PI()*BASE限界!$L$13*2)</f>
        <v>4.6708315439812171</v>
      </c>
      <c r="D54" s="19">
        <v>0.54456586619795178</v>
      </c>
      <c r="E54">
        <v>1.26281715285197</v>
      </c>
      <c r="F54">
        <v>1.20033094447499E-2</v>
      </c>
      <c r="G54">
        <v>-0.17674134745192741</v>
      </c>
      <c r="H54">
        <v>0.38488382524733211</v>
      </c>
      <c r="I54">
        <f>1/2*BASE限界!$F$4*(BASE限界!$F$5^2)*(B54+B53)/2000*E54*0.1</f>
        <v>4.5236408944426501</v>
      </c>
      <c r="J54">
        <f>1/2*BASE限界!$F$4*(BASE限界!$F$5^2)*(B54+B53)/2000*F54*0.1</f>
        <v>4.2998039225466043E-2</v>
      </c>
    </row>
    <row r="55" spans="1:10" x14ac:dyDescent="1.1000000000000001">
      <c r="A55">
        <v>5100</v>
      </c>
      <c r="B55">
        <v>740</v>
      </c>
      <c r="C55">
        <f>4*$M$3*10^3*100*0.001*SQRT(1-4*A55^2/(BASE限界!$L$13*BASE限界!$L$13*4))/(PI()*BASE限界!$L$13*2)</f>
        <v>4.645619378654394</v>
      </c>
      <c r="D55" s="19">
        <v>0.53923181773623075</v>
      </c>
      <c r="E55">
        <v>1.258806913379009</v>
      </c>
      <c r="F55">
        <v>1.1957772740593941E-2</v>
      </c>
      <c r="G55">
        <v>-0.1764994099498107</v>
      </c>
      <c r="H55">
        <v>0.38520688956222171</v>
      </c>
      <c r="I55">
        <f>1/2*BASE限界!$F$4*(BASE限界!$F$5^2)*(B55+B54)/2000*E55*0.1</f>
        <v>4.4824345612065484</v>
      </c>
      <c r="J55">
        <f>1/2*BASE限界!$F$4*(BASE限界!$F$5^2)*(B55+B54)/2000*F55*0.1</f>
        <v>4.2579948710016059E-2</v>
      </c>
    </row>
    <row r="56" spans="1:10" x14ac:dyDescent="1.1000000000000001">
      <c r="A56">
        <v>5200</v>
      </c>
      <c r="B56">
        <v>735.55555555555554</v>
      </c>
      <c r="C56">
        <f>4*$M$3*10^3*100*0.001*SQRT(1-4*A56^2/(BASE限界!$L$13*BASE限界!$L$13*4))/(PI()*BASE限界!$L$13*2)</f>
        <v>4.6197662565162041</v>
      </c>
      <c r="D56" s="19">
        <v>0.53370206770172657</v>
      </c>
      <c r="E56">
        <v>1.2548229532038619</v>
      </c>
      <c r="F56">
        <v>1.191258895131557E-2</v>
      </c>
      <c r="G56">
        <v>-0.1762615669191738</v>
      </c>
      <c r="H56">
        <v>0.38553396228257669</v>
      </c>
      <c r="I56">
        <f>1/2*BASE限界!$F$4*(BASE限界!$F$5^2)*(B56+B55)/2000*E56*0.1</f>
        <v>4.441492261275755</v>
      </c>
      <c r="J56">
        <f>1/2*BASE限界!$F$4*(BASE限界!$F$5^2)*(B56+B55)/2000*F56*0.1</f>
        <v>4.2165049263671955E-2</v>
      </c>
    </row>
    <row r="57" spans="1:10" x14ac:dyDescent="1.1000000000000001">
      <c r="A57">
        <v>5300</v>
      </c>
      <c r="B57">
        <v>731.11111111111109</v>
      </c>
      <c r="C57">
        <f>4*$M$3*10^3*100*0.001*SQRT(1-4*A57^2/(BASE限界!$L$13*BASE限界!$L$13*4))/(PI()*BASE限界!$L$13*2)</f>
        <v>4.5932613547238361</v>
      </c>
      <c r="D57" s="19">
        <v>0.52814827441707046</v>
      </c>
      <c r="E57">
        <v>1.2508512042153499</v>
      </c>
      <c r="F57">
        <v>1.186616022453511E-2</v>
      </c>
      <c r="G57">
        <v>-0.17602549023180469</v>
      </c>
      <c r="H57">
        <v>0.38586170306569262</v>
      </c>
      <c r="I57">
        <f>1/2*BASE限界!$F$4*(BASE限界!$F$5^2)*(B57+B56)/2000*E57*0.1</f>
        <v>4.4007628189958821</v>
      </c>
      <c r="J57">
        <f>1/2*BASE限界!$F$4*(BASE限界!$F$5^2)*(B57+B56)/2000*F57*0.1</f>
        <v>4.1747696723959477E-2</v>
      </c>
    </row>
    <row r="58" spans="1:10" x14ac:dyDescent="1.1000000000000001">
      <c r="A58">
        <v>5400</v>
      </c>
      <c r="B58">
        <v>726.66666666666663</v>
      </c>
      <c r="C58">
        <f>4*$M$3*10^3*100*0.001*SQRT(1-4*A58^2/(BASE限界!$L$13*BASE限界!$L$13*4))/(PI()*BASE限界!$L$13*2)</f>
        <v>4.5660933230925504</v>
      </c>
      <c r="D58" s="19">
        <v>0.52244324012633792</v>
      </c>
      <c r="E58">
        <v>1.2469002267876641</v>
      </c>
      <c r="F58">
        <v>1.1818621440614531E-2</v>
      </c>
      <c r="G58">
        <v>-0.17579017586526119</v>
      </c>
      <c r="H58">
        <v>0.38618800710199491</v>
      </c>
      <c r="I58">
        <f>1/2*BASE限界!$F$4*(BASE限界!$F$5^2)*(B58+B57)/2000*E58*0.1</f>
        <v>4.3602753879511615</v>
      </c>
      <c r="J58">
        <f>1/2*BASE限界!$F$4*(BASE限界!$F$5^2)*(B58+B57)/2000*F58*0.1</f>
        <v>4.1328442388517551E-2</v>
      </c>
    </row>
    <row r="59" spans="1:10" x14ac:dyDescent="1.1000000000000001">
      <c r="A59">
        <v>5500</v>
      </c>
      <c r="B59">
        <v>722.22222222222217</v>
      </c>
      <c r="C59">
        <f>4*$M$3*10^3*100*0.001*SQRT(1-4*A59^2/(BASE限界!$L$13*BASE限界!$L$13*4))/(PI()*BASE限界!$L$13*2)</f>
        <v>4.53825025224684</v>
      </c>
      <c r="D59" s="19">
        <v>0.51699399798942869</v>
      </c>
      <c r="E59">
        <v>1.2429396263182331</v>
      </c>
      <c r="F59">
        <v>1.1769549126201579E-2</v>
      </c>
      <c r="G59">
        <v>-0.17555839933892881</v>
      </c>
      <c r="H59">
        <v>0.38651918192851298</v>
      </c>
      <c r="I59">
        <f>1/2*BASE限界!$F$4*(BASE限界!$F$5^2)*(B59+B58)/2000*E59*0.1</f>
        <v>4.319923000883704</v>
      </c>
      <c r="J59">
        <f>1/2*BASE限界!$F$4*(BASE限界!$F$5^2)*(B59+B58)/2000*F59*0.1</f>
        <v>4.0905885453917698E-2</v>
      </c>
    </row>
    <row r="60" spans="1:10" x14ac:dyDescent="1.1000000000000001">
      <c r="A60">
        <v>5600</v>
      </c>
      <c r="B60">
        <v>717.77777777777783</v>
      </c>
      <c r="C60">
        <f>4*$M$3*10^3*100*0.001*SQRT(1-4*A60^2/(BASE限界!$L$13*BASE限界!$L$13*4))/(PI()*BASE限界!$L$13*2)</f>
        <v>4.5097196390999592</v>
      </c>
      <c r="D60" s="19">
        <v>0.51172516972933535</v>
      </c>
      <c r="E60">
        <v>1.2389744170627199</v>
      </c>
      <c r="F60">
        <v>1.1719003861444239E-2</v>
      </c>
      <c r="G60">
        <v>-0.17532957768025889</v>
      </c>
      <c r="H60">
        <v>0.38685396967597152</v>
      </c>
      <c r="I60">
        <f>1/2*BASE限界!$F$4*(BASE限界!$F$5^2)*(B60+B59)/2000*E60*0.1</f>
        <v>4.279723593833082</v>
      </c>
      <c r="J60">
        <f>1/2*BASE限界!$F$4*(BASE限界!$F$5^2)*(B60+B59)/2000*F60*0.1</f>
        <v>4.0480333275117963E-2</v>
      </c>
    </row>
    <row r="61" spans="1:10" x14ac:dyDescent="1.1000000000000001">
      <c r="A61">
        <v>5700</v>
      </c>
      <c r="B61">
        <v>713.33333333333337</v>
      </c>
      <c r="C61">
        <f>4*$M$3*10^3*100*0.001*SQRT(1-4*A61^2/(BASE限界!$L$13*BASE限界!$L$13*4))/(PI()*BASE限界!$L$13*2)</f>
        <v>4.4804883493863059</v>
      </c>
      <c r="D61" s="19">
        <v>0.50661844871782125</v>
      </c>
      <c r="E61">
        <v>1.2350053864665651</v>
      </c>
      <c r="F61">
        <v>1.1666990481537361E-2</v>
      </c>
      <c r="G61">
        <v>-0.17510351824390549</v>
      </c>
      <c r="H61">
        <v>0.38719200227438222</v>
      </c>
      <c r="I61">
        <f>1/2*BASE限界!$F$4*(BASE限界!$F$5^2)*(B61+B60)/2000*E61*0.1</f>
        <v>4.2396801648526745</v>
      </c>
      <c r="J61">
        <f>1/2*BASE限界!$F$4*(BASE限界!$F$5^2)*(B61+B60)/2000*F61*0.1</f>
        <v>4.0051896671981058E-2</v>
      </c>
    </row>
    <row r="62" spans="1:10" x14ac:dyDescent="1.1000000000000001">
      <c r="A62">
        <v>5800</v>
      </c>
      <c r="B62">
        <v>708.88888888888891</v>
      </c>
      <c r="C62">
        <f>4*$M$3*10^3*100*0.001*SQRT(1-4*A62^2/(BASE限界!$L$13*BASE限界!$L$13*4))/(PI()*BASE限界!$L$13*2)</f>
        <v>4.450542576936682</v>
      </c>
      <c r="D62" s="19">
        <v>0.50204172926538948</v>
      </c>
      <c r="E62">
        <v>1.2310055990141029</v>
      </c>
      <c r="F62">
        <v>1.161306753430108E-2</v>
      </c>
      <c r="G62">
        <v>-0.17488286818576129</v>
      </c>
      <c r="H62">
        <v>0.3875390508303253</v>
      </c>
      <c r="I62">
        <f>1/2*BASE限界!$F$4*(BASE限界!$F$5^2)*(B62+B61)/2000*E62*0.1</f>
        <v>4.1997010651272637</v>
      </c>
      <c r="J62">
        <f>1/2*BASE限界!$F$4*(BASE限界!$F$5^2)*(B62+B61)/2000*F62*0.1</f>
        <v>3.961916349711124E-2</v>
      </c>
    </row>
    <row r="63" spans="1:10" x14ac:dyDescent="1.1000000000000001">
      <c r="A63">
        <v>5900</v>
      </c>
      <c r="B63">
        <v>704.44444444444446</v>
      </c>
      <c r="C63">
        <f>4*$M$3*10^3*100*0.001*SQRT(1-4*A63^2/(BASE限界!$L$13*BASE限界!$L$13*4))/(PI()*BASE限界!$L$13*2)</f>
        <v>4.4198677993468536</v>
      </c>
      <c r="D63" s="19">
        <v>0.49780156570687428</v>
      </c>
      <c r="E63">
        <v>1.2269603363954651</v>
      </c>
      <c r="F63">
        <v>1.155734043234395E-2</v>
      </c>
      <c r="G63">
        <v>-0.17466387132777431</v>
      </c>
      <c r="H63">
        <v>0.38789194598251792</v>
      </c>
      <c r="I63">
        <f>1/2*BASE限界!$F$4*(BASE限界!$F$5^2)*(B63+B62)/2000*E63*0.1</f>
        <v>4.1597383629142994</v>
      </c>
      <c r="J63">
        <f>1/2*BASE限界!$F$4*(BASE限界!$F$5^2)*(B63+B62)/2000*F63*0.1</f>
        <v>3.9182613279021519E-2</v>
      </c>
    </row>
    <row r="64" spans="1:10" x14ac:dyDescent="1.1000000000000001">
      <c r="A64">
        <v>6000</v>
      </c>
      <c r="B64">
        <v>700</v>
      </c>
      <c r="C64">
        <f>4*$M$3*10^3*100*0.001*SQRT(1-4*A64^2/(BASE限界!$L$13*BASE限界!$L$13*4))/(PI()*BASE限界!$L$13*2)</f>
        <v>4.3884487296443835</v>
      </c>
      <c r="D64" s="19">
        <v>0.49398692421575391</v>
      </c>
      <c r="E64">
        <v>1.222888042894535</v>
      </c>
      <c r="F64">
        <v>1.150013712578944E-2</v>
      </c>
      <c r="G64">
        <v>-0.17444928961137679</v>
      </c>
      <c r="H64">
        <v>0.38825331045591588</v>
      </c>
      <c r="I64">
        <f>1/2*BASE限界!$F$4*(BASE限界!$F$5^2)*(B64+B63)/2000*E64*0.1</f>
        <v>4.1198571051454875</v>
      </c>
      <c r="J64">
        <f>1/2*BASE限界!$F$4*(BASE限界!$F$5^2)*(B64+B63)/2000*F64*0.1</f>
        <v>3.8743466274873954E-2</v>
      </c>
    </row>
    <row r="65" spans="1:10" x14ac:dyDescent="1.1000000000000001">
      <c r="A65">
        <v>6100</v>
      </c>
      <c r="B65">
        <v>695.55555555555554</v>
      </c>
      <c r="C65">
        <f>4*$M$3*10^3*100*0.001*SQRT(1-4*A65^2/(BASE限界!$L$13*BASE限界!$L$13*4))/(PI()*BASE限界!$L$13*2)</f>
        <v>4.3562692635061966</v>
      </c>
      <c r="D65" s="19">
        <v>0.49067340142131399</v>
      </c>
      <c r="E65">
        <v>1.2187877177834829</v>
      </c>
      <c r="F65">
        <v>1.144139166087477E-2</v>
      </c>
      <c r="G65">
        <v>-0.1742400912937461</v>
      </c>
      <c r="H65">
        <v>0.3886246454722796</v>
      </c>
      <c r="I65">
        <f>1/2*BASE限界!$F$4*(BASE限界!$F$5^2)*(B65+B64)/2000*E65*0.1</f>
        <v>4.0800556708488767</v>
      </c>
      <c r="J65">
        <f>1/2*BASE限界!$F$4*(BASE限界!$F$5^2)*(B65+B64)/2000*F65*0.1</f>
        <v>3.8301596124755255E-2</v>
      </c>
    </row>
    <row r="66" spans="1:10" x14ac:dyDescent="1.1000000000000001">
      <c r="A66">
        <v>6200</v>
      </c>
      <c r="B66">
        <v>691.11111111111109</v>
      </c>
      <c r="C66">
        <f>4*$M$3*10^3*100*0.001*SQRT(1-4*A66^2/(BASE限界!$L$13*BASE限界!$L$13*4))/(PI()*BASE限界!$L$13*2)</f>
        <v>4.3233124215186498</v>
      </c>
      <c r="D66" s="19">
        <v>0.48797313581948759</v>
      </c>
      <c r="E66">
        <v>1.2146520418401121</v>
      </c>
      <c r="F66">
        <v>1.1380954869306761E-2</v>
      </c>
      <c r="G66">
        <v>-0.17403722669667321</v>
      </c>
      <c r="H66">
        <v>0.38900800314137268</v>
      </c>
      <c r="I66">
        <f>1/2*BASE限界!$F$4*(BASE限界!$F$5^2)*(B66+B65)/2000*E66*0.1</f>
        <v>4.0403115071218059</v>
      </c>
      <c r="J66">
        <f>1/2*BASE限界!$F$4*(BASE限界!$F$5^2)*(B66+B65)/2000*F66*0.1</f>
        <v>3.7856605296471293E-2</v>
      </c>
    </row>
    <row r="67" spans="1:10" x14ac:dyDescent="1.1000000000000001">
      <c r="A67">
        <v>6300</v>
      </c>
      <c r="B67">
        <v>686.66666666666663</v>
      </c>
      <c r="C67">
        <f>4*$M$3*10^3*100*0.001*SQRT(1-4*A67^2/(BASE限界!$L$13*BASE限界!$L$13*4))/(PI()*BASE限界!$L$13*2)</f>
        <v>4.2895602859014934</v>
      </c>
      <c r="D67" s="19">
        <v>0.48606452634392561</v>
      </c>
      <c r="E67">
        <v>1.210469076477209</v>
      </c>
      <c r="F67">
        <v>1.131858902022638E-2</v>
      </c>
      <c r="G67">
        <v>-0.1738421800025885</v>
      </c>
      <c r="H67">
        <v>0.38940655985467643</v>
      </c>
      <c r="I67">
        <f>1/2*BASE限界!$F$4*(BASE限界!$F$5^2)*(B67+B66)/2000*E67*0.1</f>
        <v>4.0005874183662025</v>
      </c>
      <c r="J67">
        <f>1/2*BASE限界!$F$4*(BASE限界!$F$5^2)*(B67+B66)/2000*F67*0.1</f>
        <v>3.7407816282061017E-2</v>
      </c>
    </row>
    <row r="68" spans="1:10" x14ac:dyDescent="1.1000000000000001">
      <c r="A68">
        <v>6400</v>
      </c>
      <c r="B68">
        <v>682.22222222222217</v>
      </c>
      <c r="C68">
        <f>4*$M$3*10^3*100*0.001*SQRT(1-4*A68^2/(BASE限界!$L$13*BASE限界!$L$13*4))/(PI()*BASE限界!$L$13*2)</f>
        <v>4.2549939310351963</v>
      </c>
      <c r="D68" s="19">
        <v>0.48488569024272399</v>
      </c>
      <c r="E68">
        <v>1.2062444573190689</v>
      </c>
      <c r="F68">
        <v>1.125435213323429E-2</v>
      </c>
      <c r="G68">
        <v>-0.17365465499259819</v>
      </c>
      <c r="H68">
        <v>0.38981963350295462</v>
      </c>
      <c r="I68">
        <f>1/2*BASE限界!$F$4*(BASE限界!$F$5^2)*(B68+B67)/2000*E68*0.1</f>
        <v>3.9609049350823775</v>
      </c>
      <c r="J68">
        <f>1/2*BASE限界!$F$4*(BASE限界!$F$5^2)*(B68+B67)/2000*F68*0.1</f>
        <v>3.6955542995619518E-2</v>
      </c>
    </row>
    <row r="69" spans="1:10" x14ac:dyDescent="1.1000000000000001">
      <c r="A69">
        <v>6500</v>
      </c>
      <c r="B69">
        <v>677.77777777777783</v>
      </c>
      <c r="C69">
        <f>4*$M$3*10^3*100*0.001*SQRT(1-4*A69^2/(BASE限界!$L$13*BASE限界!$L$13*4))/(PI()*BASE限界!$L$13*2)</f>
        <v>4.219593347035544</v>
      </c>
      <c r="D69" s="19">
        <v>0.48457081569878802</v>
      </c>
      <c r="E69">
        <v>1.2019555231397601</v>
      </c>
      <c r="F69">
        <v>1.118679864214572E-2</v>
      </c>
      <c r="G69">
        <v>-0.1734684609886066</v>
      </c>
      <c r="H69">
        <v>0.39024347222766259</v>
      </c>
      <c r="I69">
        <f>1/2*BASE限界!$F$4*(BASE限界!$F$5^2)*(B69+B68)/2000*E69*0.1</f>
        <v>3.9211927930389141</v>
      </c>
      <c r="J69">
        <f>1/2*BASE限界!$F$4*(BASE限界!$F$5^2)*(B69+B68)/2000*F69*0.1</f>
        <v>3.649518918817659E-2</v>
      </c>
    </row>
    <row r="70" spans="1:10" x14ac:dyDescent="1.1000000000000001">
      <c r="A70">
        <v>6600</v>
      </c>
      <c r="B70">
        <v>673.33333333333337</v>
      </c>
      <c r="C70">
        <f>4*$M$3*10^3*100*0.001*SQRT(1-4*A70^2/(BASE限界!$L$13*BASE限界!$L$13*4))/(PI()*BASE限界!$L$13*2)</f>
        <v>4.1833373555074553</v>
      </c>
      <c r="D70" s="19">
        <v>0.48531493081067539</v>
      </c>
      <c r="E70">
        <v>1.197582509022173</v>
      </c>
      <c r="F70">
        <v>1.1115526536640909E-2</v>
      </c>
      <c r="G70">
        <v>-0.17328432047440251</v>
      </c>
      <c r="H70">
        <v>0.39068103319050518</v>
      </c>
      <c r="I70">
        <f>1/2*BASE限界!$F$4*(BASE限界!$F$5^2)*(B70+B69)/2000*E70*0.1</f>
        <v>3.8813910477815408</v>
      </c>
      <c r="J70">
        <f>1/2*BASE限界!$F$4*(BASE限界!$F$5^2)*(B70+B69)/2000*F70*0.1</f>
        <v>3.6025664090504332E-2</v>
      </c>
    </row>
    <row r="71" spans="1:10" x14ac:dyDescent="1.1000000000000001">
      <c r="A71">
        <v>6700</v>
      </c>
      <c r="B71">
        <v>668.88888888888891</v>
      </c>
      <c r="C71">
        <f>4*$M$3*10^3*100*0.001*SQRT(1-4*A71^2/(BASE限界!$L$13*BASE限界!$L$13*4))/(PI()*BASE限界!$L$13*2)</f>
        <v>4.1462035164785158</v>
      </c>
      <c r="D71" s="19">
        <v>0.4876738949735811</v>
      </c>
      <c r="E71">
        <v>1.193093022971184</v>
      </c>
      <c r="F71">
        <v>1.1040477374436411E-2</v>
      </c>
      <c r="G71">
        <v>-0.17311097695982419</v>
      </c>
      <c r="H71">
        <v>0.39114548550960049</v>
      </c>
      <c r="I71">
        <f>1/2*BASE限界!$F$4*(BASE限界!$F$5^2)*(B71+B70)/2000*E71*0.1</f>
        <v>3.841400785212322</v>
      </c>
      <c r="J71">
        <f>1/2*BASE限界!$F$4*(BASE限界!$F$5^2)*(B71+B70)/2000*F71*0.1</f>
        <v>3.5547017406624484E-2</v>
      </c>
    </row>
    <row r="72" spans="1:10" x14ac:dyDescent="1.1000000000000001">
      <c r="A72">
        <v>6800</v>
      </c>
      <c r="B72">
        <v>664.44444444444446</v>
      </c>
      <c r="C72">
        <f>4*$M$3*10^3*100*0.001*SQRT(1-4*A72^2/(BASE限界!$L$13*BASE限界!$L$13*4))/(PI()*BASE限界!$L$13*2)</f>
        <v>4.1081680253576192</v>
      </c>
      <c r="D72" s="19">
        <v>0.49226543327197653</v>
      </c>
      <c r="E72">
        <v>1.1884422385158919</v>
      </c>
      <c r="F72">
        <v>1.0960604608575619E-2</v>
      </c>
      <c r="G72">
        <v>-0.1729527545204631</v>
      </c>
      <c r="H72">
        <v>0.39164686933526582</v>
      </c>
      <c r="I72">
        <f>1/2*BASE限界!$F$4*(BASE限界!$F$5^2)*(B72+B71)/2000*E72*0.1</f>
        <v>3.8010860838092961</v>
      </c>
      <c r="J72">
        <f>1/2*BASE限界!$F$4*(BASE限界!$F$5^2)*(B72+B71)/2000*F72*0.1</f>
        <v>3.5056143494041354E-2</v>
      </c>
    </row>
    <row r="73" spans="1:10" x14ac:dyDescent="1.1000000000000001">
      <c r="A73">
        <v>6900</v>
      </c>
      <c r="B73">
        <v>660</v>
      </c>
      <c r="C73">
        <f>4*$M$3*10^3*100*0.001*SQRT(1-4*A73^2/(BASE限界!$L$13*BASE限界!$L$13*4))/(PI()*BASE限界!$L$13*2)</f>
        <v>4.069205598580619</v>
      </c>
      <c r="D73" s="19">
        <v>0.49151933404978421</v>
      </c>
      <c r="E73">
        <v>1.184181834819827</v>
      </c>
      <c r="F73">
        <v>1.0887078860720101E-2</v>
      </c>
      <c r="G73">
        <v>-0.17275666167472681</v>
      </c>
      <c r="H73">
        <v>0.39206430934479652</v>
      </c>
      <c r="I73">
        <f>1/2*BASE限界!$F$4*(BASE限界!$F$5^2)*(B73+B72)/2000*E73*0.1</f>
        <v>3.7622099760860395</v>
      </c>
      <c r="J73">
        <f>1/2*BASE限界!$F$4*(BASE限界!$F$5^2)*(B73+B72)/2000*F73*0.1</f>
        <v>3.4588840578244955E-2</v>
      </c>
    </row>
    <row r="74" spans="1:10" x14ac:dyDescent="1.1000000000000001">
      <c r="A74">
        <v>7000</v>
      </c>
      <c r="B74">
        <v>655.20000000000005</v>
      </c>
      <c r="C74">
        <f>4*$M$3*10^3*100*0.001*SQRT(1-4*A74^2/(BASE限界!$L$13*BASE限界!$L$13*4))/(PI()*BASE限界!$L$13*2)</f>
        <v>4.0292893463868031</v>
      </c>
      <c r="D74" s="19">
        <v>0.48318716375183213</v>
      </c>
      <c r="E74">
        <v>1.1791724434847619</v>
      </c>
      <c r="F74">
        <v>1.08012363456863E-2</v>
      </c>
      <c r="G74">
        <v>-0.17318037410791429</v>
      </c>
      <c r="H74">
        <v>0.39313794102488148</v>
      </c>
      <c r="I74">
        <f>1/2*BASE限界!$F$4*(BASE限界!$F$5^2)*(B74+B73)/2000*E74*0.1</f>
        <v>3.7201462325453769</v>
      </c>
      <c r="J74">
        <f>1/2*BASE限界!$F$4*(BASE限界!$F$5^2)*(B74+B73)/2000*F74*0.1</f>
        <v>3.4076592376504553E-2</v>
      </c>
    </row>
    <row r="75" spans="1:10" x14ac:dyDescent="1.1000000000000001">
      <c r="A75">
        <v>7100</v>
      </c>
      <c r="B75">
        <v>650.4</v>
      </c>
      <c r="C75">
        <f>4*$M$3*10^3*100*0.001*SQRT(1-4*A75^2/(BASE限界!$L$13*BASE限界!$L$13*4))/(PI()*BASE限界!$L$13*2)</f>
        <v>3.9883906309098842</v>
      </c>
      <c r="D75" s="19">
        <v>0.46979255085960819</v>
      </c>
      <c r="E75">
        <v>1.1745568807958779</v>
      </c>
      <c r="F75">
        <v>1.072103817432968E-2</v>
      </c>
      <c r="G75">
        <v>-0.17357656078621009</v>
      </c>
      <c r="H75">
        <v>0.39413489675329227</v>
      </c>
      <c r="I75">
        <f>1/2*BASE限界!$F$4*(BASE限界!$F$5^2)*(B75+B74)/2000*E75*0.1</f>
        <v>3.6785366278792893</v>
      </c>
      <c r="J75">
        <f>1/2*BASE限界!$F$4*(BASE限界!$F$5^2)*(B75+B74)/2000*F75*0.1</f>
        <v>3.3576689437501646E-2</v>
      </c>
    </row>
    <row r="76" spans="1:10" x14ac:dyDescent="1.1000000000000001">
      <c r="A76">
        <v>7200</v>
      </c>
      <c r="B76">
        <v>645.6</v>
      </c>
      <c r="C76">
        <f>4*$M$3*10^3*100*0.001*SQRT(1-4*A76^2/(BASE限界!$L$13*BASE限界!$L$13*4))/(PI()*BASE限界!$L$13*2)</f>
        <v>3.9464789074554187</v>
      </c>
      <c r="D76" s="19">
        <v>0.45882294646799088</v>
      </c>
      <c r="E76">
        <v>1.1697406835532429</v>
      </c>
      <c r="F76">
        <v>1.0635211682234609E-2</v>
      </c>
      <c r="G76">
        <v>-0.17399075861041369</v>
      </c>
      <c r="H76">
        <v>0.39517915646853491</v>
      </c>
      <c r="I76">
        <f>1/2*BASE限界!$F$4*(BASE限界!$F$5^2)*(B76+B75)/2000*E76*0.1</f>
        <v>3.6365158632926349</v>
      </c>
      <c r="J76">
        <f>1/2*BASE限界!$F$4*(BASE限界!$F$5^2)*(B76+B75)/2000*F76*0.1</f>
        <v>3.3062982706936805E-2</v>
      </c>
    </row>
    <row r="77" spans="1:10" x14ac:dyDescent="1.1000000000000001">
      <c r="A77">
        <v>7300</v>
      </c>
      <c r="B77">
        <v>640.79999999999995</v>
      </c>
      <c r="C77">
        <f>4*$M$3*10^3*100*0.001*SQRT(1-4*A77^2/(BASE限界!$L$13*BASE限界!$L$13*4))/(PI()*BASE限界!$L$13*2)</f>
        <v>3.9035215464614117</v>
      </c>
      <c r="D77" s="19">
        <v>0.45016030703864057</v>
      </c>
      <c r="E77">
        <v>1.1646580589517119</v>
      </c>
      <c r="F77">
        <v>1.054511040889876E-2</v>
      </c>
      <c r="G77">
        <v>-0.1744094990520958</v>
      </c>
      <c r="H77">
        <v>0.39626807185163498</v>
      </c>
      <c r="I77">
        <f>1/2*BASE限界!$F$4*(BASE限界!$F$5^2)*(B77+B76)/2000*E77*0.1</f>
        <v>3.593894776572105</v>
      </c>
      <c r="J77">
        <f>1/2*BASE限界!$F$4*(BASE限界!$F$5^2)*(B77+B76)/2000*F77*0.1</f>
        <v>3.2540037760979156E-2</v>
      </c>
    </row>
    <row r="78" spans="1:10" x14ac:dyDescent="1.1000000000000001">
      <c r="A78">
        <v>7400</v>
      </c>
      <c r="B78">
        <v>636</v>
      </c>
      <c r="C78">
        <f>4*$M$3*10^3*100*0.001*SQRT(1-4*A78^2/(BASE限界!$L$13*BASE限界!$L$13*4))/(PI()*BASE限界!$L$13*2)</f>
        <v>3.859483633185103</v>
      </c>
      <c r="D78" s="19">
        <v>0.44395965515258951</v>
      </c>
      <c r="E78">
        <v>1.159007278877678</v>
      </c>
      <c r="F78">
        <v>1.0458279455864489E-2</v>
      </c>
      <c r="G78">
        <v>-0.17478572795029779</v>
      </c>
      <c r="H78">
        <v>0.39739910546202928</v>
      </c>
      <c r="I78">
        <f>1/2*BASE限界!$F$4*(BASE限界!$F$5^2)*(B78+B77)/2000*E78*0.1</f>
        <v>3.5497676513414511</v>
      </c>
      <c r="J78">
        <f>1/2*BASE限界!$F$4*(BASE限界!$F$5^2)*(B78+B77)/2000*F78*0.1</f>
        <v>3.2031258800260531E-2</v>
      </c>
    </row>
    <row r="79" spans="1:10" x14ac:dyDescent="1.1000000000000001">
      <c r="A79">
        <v>7500</v>
      </c>
      <c r="B79">
        <v>631.20000000000005</v>
      </c>
      <c r="C79">
        <f>4*$M$3*10^3*100*0.001*SQRT(1-4*A79^2/(BASE限界!$L$13*BASE限界!$L$13*4))/(PI()*BASE限界!$L$13*2)</f>
        <v>3.8143277416074373</v>
      </c>
      <c r="D79" s="19">
        <v>0.43743658443992389</v>
      </c>
      <c r="E79">
        <v>1.152870132566381</v>
      </c>
      <c r="F79">
        <v>1.0386206363812911E-2</v>
      </c>
      <c r="G79">
        <v>-0.1750744581208156</v>
      </c>
      <c r="H79">
        <v>0.39852421586201953</v>
      </c>
      <c r="I79">
        <f>1/2*BASE限界!$F$4*(BASE限界!$F$5^2)*(B79+B78)/2000*E79*0.1</f>
        <v>3.5044223563767418</v>
      </c>
      <c r="J79">
        <f>1/2*BASE限界!$F$4*(BASE限界!$F$5^2)*(B79+B78)/2000*F79*0.1</f>
        <v>3.1571339000919615E-2</v>
      </c>
    </row>
    <row r="80" spans="1:10" x14ac:dyDescent="1.1000000000000001">
      <c r="A80">
        <v>7600</v>
      </c>
      <c r="B80">
        <v>626.4</v>
      </c>
      <c r="C80">
        <f>4*$M$3*10^3*100*0.001*SQRT(1-4*A80^2/(BASE限界!$L$13*BASE限界!$L$13*4))/(PI()*BASE限界!$L$13*2)</f>
        <v>3.7680136783729585</v>
      </c>
      <c r="D80" s="19">
        <v>0.43163945594392272</v>
      </c>
      <c r="E80">
        <v>1.1463393363112739</v>
      </c>
      <c r="F80">
        <v>1.032595387537384E-2</v>
      </c>
      <c r="G80">
        <v>-0.17531163258572949</v>
      </c>
      <c r="H80">
        <v>0.39966191662472378</v>
      </c>
      <c r="I80">
        <f>1/2*BASE限界!$F$4*(BASE限界!$F$5^2)*(B80+B79)/2000*E80*0.1</f>
        <v>3.4581721903364468</v>
      </c>
      <c r="J80">
        <f>1/2*BASE限界!$F$4*(BASE限界!$F$5^2)*(B80+B79)/2000*F80*0.1</f>
        <v>3.1150397966295009E-2</v>
      </c>
    </row>
    <row r="81" spans="1:10" x14ac:dyDescent="1.1000000000000001">
      <c r="A81">
        <v>7700</v>
      </c>
      <c r="B81">
        <v>621.6</v>
      </c>
      <c r="C81">
        <f>4*$M$3*10^3*100*0.001*SQRT(1-4*A81^2/(BASE限界!$L$13*BASE限界!$L$13*4))/(PI()*BASE限界!$L$13*2)</f>
        <v>3.7204981917550435</v>
      </c>
      <c r="D81" s="19">
        <v>0.42725071744631121</v>
      </c>
      <c r="E81">
        <v>1.1390937987097649</v>
      </c>
      <c r="F81">
        <v>1.029262577209005E-2</v>
      </c>
      <c r="G81">
        <v>-0.1754223157828729</v>
      </c>
      <c r="H81">
        <v>0.40081118787538728</v>
      </c>
      <c r="I81">
        <f>1/2*BASE限界!$F$4*(BASE限界!$F$5^2)*(B81+B80)/2000*E81*0.1</f>
        <v>3.4100831033728833</v>
      </c>
      <c r="J81">
        <f>1/2*BASE限界!$F$4*(BASE限界!$F$5^2)*(B81+B80)/2000*F81*0.1</f>
        <v>3.0812834969780673E-2</v>
      </c>
    </row>
    <row r="82" spans="1:10" x14ac:dyDescent="1.1000000000000001">
      <c r="A82">
        <v>7800</v>
      </c>
      <c r="B82">
        <v>616.79999999999995</v>
      </c>
      <c r="C82">
        <f>4*$M$3*10^3*100*0.001*SQRT(1-4*A82^2/(BASE限界!$L$13*BASE限界!$L$13*4))/(PI()*BASE限界!$L$13*2)</f>
        <v>3.6717346396133523</v>
      </c>
      <c r="D82" s="19">
        <v>0.42422277643820189</v>
      </c>
      <c r="E82">
        <v>1.1314927608920211</v>
      </c>
      <c r="F82">
        <v>1.0266747290254929E-2</v>
      </c>
      <c r="G82">
        <v>-0.1755014941941824</v>
      </c>
      <c r="H82">
        <v>0.40200189297017219</v>
      </c>
      <c r="I82">
        <f>1/2*BASE限界!$F$4*(BASE限界!$F$5^2)*(B82+B81)/2000*E82*0.1</f>
        <v>3.3612716538636729</v>
      </c>
      <c r="J82">
        <f>1/2*BASE限界!$F$4*(BASE限界!$F$5^2)*(B82+B81)/2000*F82*0.1</f>
        <v>3.0498937188877702E-2</v>
      </c>
    </row>
    <row r="83" spans="1:10" x14ac:dyDescent="1.1000000000000001">
      <c r="A83">
        <v>7900</v>
      </c>
      <c r="B83">
        <v>612</v>
      </c>
      <c r="C83">
        <f>4*$M$3*10^3*100*0.001*SQRT(1-4*A83^2/(BASE限界!$L$13*BASE限界!$L$13*4))/(PI()*BASE限界!$L$13*2)</f>
        <v>3.6216726090382414</v>
      </c>
      <c r="D83" s="19">
        <v>0.42255993182132129</v>
      </c>
      <c r="E83">
        <v>1.1236157954817489</v>
      </c>
      <c r="F83">
        <v>1.0245879510617459E-2</v>
      </c>
      <c r="G83">
        <v>-0.1755521915350518</v>
      </c>
      <c r="H83">
        <v>0.40322541416782992</v>
      </c>
      <c r="I83">
        <f>1/2*BASE限界!$F$4*(BASE限界!$F$5^2)*(B83+B82)/2000*E83*0.1</f>
        <v>3.3119969516995931</v>
      </c>
      <c r="J83">
        <f>1/2*BASE限界!$F$4*(BASE限界!$F$5^2)*(B83+B82)/2000*F83*0.1</f>
        <v>3.0201000949881665E-2</v>
      </c>
    </row>
    <row r="84" spans="1:10" x14ac:dyDescent="1.1000000000000001">
      <c r="A84">
        <v>8000</v>
      </c>
      <c r="B84">
        <v>607.20000000000005</v>
      </c>
      <c r="C84">
        <f>4*$M$3*10^3*100*0.001*SQRT(1-4*A84^2/(BASE限界!$L$13*BASE限界!$L$13*4))/(PI()*BASE限界!$L$13*2)</f>
        <v>3.5702574787844554</v>
      </c>
      <c r="D84" s="19">
        <v>0.42232057924771638</v>
      </c>
      <c r="E84">
        <v>1.115252233504217</v>
      </c>
      <c r="F84">
        <v>1.0244720030389801E-2</v>
      </c>
      <c r="G84">
        <v>-0.17552603413844359</v>
      </c>
      <c r="H84">
        <v>0.40447320448990332</v>
      </c>
      <c r="I84">
        <f>1/2*BASE限界!$F$4*(BASE限界!$F$5^2)*(B84+B83)/2000*E84*0.1</f>
        <v>3.2616619377342122</v>
      </c>
      <c r="J84">
        <f>1/2*BASE限界!$F$4*(BASE限界!$F$5^2)*(B84+B83)/2000*F84*0.1</f>
        <v>2.9961664619019432E-2</v>
      </c>
    </row>
    <row r="85" spans="1:10" x14ac:dyDescent="1.1000000000000001">
      <c r="A85">
        <v>8100</v>
      </c>
      <c r="B85">
        <v>602.4</v>
      </c>
      <c r="C85">
        <f>4*$M$3*10^3*100*0.001*SQRT(1-4*A85^2/(BASE限界!$L$13*BASE限界!$L$13*4))/(PI()*BASE限界!$L$13*2)</f>
        <v>3.5174299135891856</v>
      </c>
      <c r="D85" s="19">
        <v>0.42356816534567299</v>
      </c>
      <c r="E85">
        <v>1.1067084375220551</v>
      </c>
      <c r="F85">
        <v>1.0253881777584699E-2</v>
      </c>
      <c r="G85">
        <v>-0.1754762856453618</v>
      </c>
      <c r="H85">
        <v>0.40572337440595768</v>
      </c>
      <c r="I85">
        <f>1/2*BASE限界!$F$4*(BASE限界!$F$5^2)*(B85+B84)/2000*E85*0.1</f>
        <v>3.2111891600960423</v>
      </c>
      <c r="J85">
        <f>1/2*BASE限界!$F$4*(BASE限界!$F$5^2)*(B85+B84)/2000*F85*0.1</f>
        <v>2.9752329427261762E-2</v>
      </c>
    </row>
    <row r="86" spans="1:10" x14ac:dyDescent="1.1000000000000001">
      <c r="A86">
        <v>8200</v>
      </c>
      <c r="B86">
        <v>597.6</v>
      </c>
      <c r="C86">
        <f>4*$M$3*10^3*100*0.001*SQRT(1-4*A86^2/(BASE限界!$L$13*BASE限界!$L$13*4))/(PI()*BASE限界!$L$13*2)</f>
        <v>3.4631252769203895</v>
      </c>
      <c r="D86" s="19">
        <v>0.42643380849567442</v>
      </c>
      <c r="E86">
        <v>1.097991244247202</v>
      </c>
      <c r="F86">
        <v>1.02676464373717E-2</v>
      </c>
      <c r="G86">
        <v>-0.17541383454121801</v>
      </c>
      <c r="H86">
        <v>0.4069907334407229</v>
      </c>
      <c r="I86">
        <f>1/2*BASE限界!$F$4*(BASE限界!$F$5^2)*(B86+B85)/2000*E86*0.1</f>
        <v>3.1606107499830465</v>
      </c>
      <c r="J86">
        <f>1/2*BASE限界!$F$4*(BASE限界!$F$5^2)*(B86+B85)/2000*F86*0.1</f>
        <v>2.9555821940303074E-2</v>
      </c>
    </row>
    <row r="87" spans="1:10" x14ac:dyDescent="1.1000000000000001">
      <c r="A87">
        <v>8300</v>
      </c>
      <c r="B87">
        <v>592.79999999999995</v>
      </c>
      <c r="C87">
        <f>4*$M$3*10^3*100*0.001*SQRT(1-4*A87^2/(BASE限界!$L$13*BASE限界!$L$13*4))/(PI()*BASE限界!$L$13*2)</f>
        <v>3.4072729454381907</v>
      </c>
      <c r="D87" s="19">
        <v>0.43104751044978318</v>
      </c>
      <c r="E87">
        <v>1.0890882303752349</v>
      </c>
      <c r="F87">
        <v>1.0274703623088551E-2</v>
      </c>
      <c r="G87">
        <v>-0.17533041952163589</v>
      </c>
      <c r="H87">
        <v>0.40832346492017418</v>
      </c>
      <c r="I87">
        <f>1/2*BASE限界!$F$4*(BASE限界!$F$5^2)*(B87+B86)/2000*E87*0.1</f>
        <v>3.1099032116565533</v>
      </c>
      <c r="J87">
        <f>1/2*BASE限界!$F$4*(BASE限界!$F$5^2)*(B87+B86)/2000*F87*0.1</f>
        <v>2.9339527234862408E-2</v>
      </c>
    </row>
    <row r="88" spans="1:10" x14ac:dyDescent="1.1000000000000001">
      <c r="A88">
        <v>8400</v>
      </c>
      <c r="B88">
        <v>588</v>
      </c>
      <c r="C88">
        <f>4*$M$3*10^3*100*0.001*SQRT(1-4*A88^2/(BASE限界!$L$13*BASE限界!$L$13*4))/(PI()*BASE限界!$L$13*2)</f>
        <v>3.3497955042393817</v>
      </c>
      <c r="D88" s="19">
        <v>0.43762121598662601</v>
      </c>
      <c r="E88">
        <v>1.0800095312611899</v>
      </c>
      <c r="F88">
        <v>1.0285975620010939E-2</v>
      </c>
      <c r="G88">
        <v>-0.17528631035024961</v>
      </c>
      <c r="H88">
        <v>0.40971955004523258</v>
      </c>
      <c r="I88">
        <f>1/2*BASE限界!$F$4*(BASE限界!$F$5^2)*(B88+B87)/2000*E88*0.1</f>
        <v>3.0591080907368675</v>
      </c>
      <c r="J88">
        <f>1/2*BASE限界!$F$4*(BASE限界!$F$5^2)*(B88+B87)/2000*F88*0.1</f>
        <v>2.9134845878214667E-2</v>
      </c>
    </row>
    <row r="89" spans="1:10" x14ac:dyDescent="1.1000000000000001">
      <c r="A89">
        <v>8500</v>
      </c>
      <c r="B89">
        <v>583.20000000000005</v>
      </c>
      <c r="C89">
        <f>4*$M$3*10^3*100*0.001*SQRT(1-4*A89^2/(BASE限界!$L$13*BASE限界!$L$13*4))/(PI()*BASE限界!$L$13*2)</f>
        <v>3.2906077964666212</v>
      </c>
      <c r="D89" s="19">
        <v>0.44638160684622791</v>
      </c>
      <c r="E89">
        <v>1.0706876574543129</v>
      </c>
      <c r="F89">
        <v>1.029420524050398E-2</v>
      </c>
      <c r="G89">
        <v>-0.17524473018758241</v>
      </c>
      <c r="H89">
        <v>0.41118445882988441</v>
      </c>
      <c r="I89">
        <f>1/2*BASE限界!$F$4*(BASE限界!$F$5^2)*(B89+B88)/2000*E89*0.1</f>
        <v>3.0080479159085982</v>
      </c>
      <c r="J89">
        <f>1/2*BASE限界!$F$4*(BASE限界!$F$5^2)*(B89+B88)/2000*F89*0.1</f>
        <v>2.8921097954241328E-2</v>
      </c>
    </row>
    <row r="90" spans="1:10" x14ac:dyDescent="1.1000000000000001">
      <c r="A90">
        <v>8600</v>
      </c>
      <c r="B90">
        <v>578.4</v>
      </c>
      <c r="C90">
        <f>4*$M$3*10^3*100*0.001*SQRT(1-4*A90^2/(BASE限界!$L$13*BASE限界!$L$13*4))/(PI()*BASE限界!$L$13*2)</f>
        <v>3.2296157936430565</v>
      </c>
      <c r="D90" s="19">
        <v>0.45765614784379771</v>
      </c>
      <c r="E90">
        <v>1.0610808407808661</v>
      </c>
      <c r="F90">
        <v>1.029752220258519E-2</v>
      </c>
      <c r="G90">
        <v>-0.1751892719085946</v>
      </c>
      <c r="H90">
        <v>0.41272500482822988</v>
      </c>
      <c r="I90">
        <f>1/2*BASE限界!$F$4*(BASE限界!$F$5^2)*(B90+B89)/2000*E90*0.1</f>
        <v>2.9566231029607675</v>
      </c>
      <c r="J90">
        <f>1/2*BASE限界!$F$4*(BASE限界!$F$5^2)*(B90+B89)/2000*F90*0.1</f>
        <v>2.8693282243235314E-2</v>
      </c>
    </row>
    <row r="91" spans="1:10" x14ac:dyDescent="1.1000000000000001">
      <c r="A91">
        <v>8700</v>
      </c>
      <c r="B91">
        <v>573.6</v>
      </c>
      <c r="C91">
        <f>4*$M$3*10^3*100*0.001*SQRT(1-4*A91^2/(BASE限界!$L$13*BASE限界!$L$13*4))/(PI()*BASE限界!$L$13*2)</f>
        <v>3.1667152434924803</v>
      </c>
      <c r="D91" s="19">
        <v>0.47182876402951562</v>
      </c>
      <c r="E91">
        <v>1.051267665099195</v>
      </c>
      <c r="F91">
        <v>1.030578148489567E-2</v>
      </c>
      <c r="G91">
        <v>-0.17515887790492349</v>
      </c>
      <c r="H91">
        <v>0.41431132703433382</v>
      </c>
      <c r="I91">
        <f>1/2*BASE限界!$F$4*(BASE限界!$F$5^2)*(B91+B90)/2000*E91*0.1</f>
        <v>2.9050704955959281</v>
      </c>
      <c r="J91">
        <f>1/2*BASE限界!$F$4*(BASE限界!$F$5^2)*(B91+B90)/2000*F91*0.1</f>
        <v>2.8478971359786127E-2</v>
      </c>
    </row>
    <row r="92" spans="1:10" x14ac:dyDescent="1.1000000000000001">
      <c r="A92">
        <v>8800</v>
      </c>
      <c r="B92">
        <v>568.79999999999995</v>
      </c>
      <c r="C92">
        <f>4*$M$3*10^3*100*0.001*SQRT(1-4*A92^2/(BASE限界!$L$13*BASE限界!$L$13*4))/(PI()*BASE限界!$L$13*2)</f>
        <v>3.1017900390941713</v>
      </c>
      <c r="D92" s="19">
        <v>0.4894236159483667</v>
      </c>
      <c r="E92">
        <v>1.041111881257591</v>
      </c>
      <c r="F92">
        <v>1.0312481525333671E-2</v>
      </c>
      <c r="G92">
        <v>-0.17512029256870271</v>
      </c>
      <c r="H92">
        <v>0.4159849357156884</v>
      </c>
      <c r="I92">
        <f>1/2*BASE限界!$F$4*(BASE限界!$F$5^2)*(B92+B91)/2000*E92*0.1</f>
        <v>2.8530309771289257</v>
      </c>
      <c r="J92">
        <f>1/2*BASE限界!$F$4*(BASE限界!$F$5^2)*(B92+B91)/2000*F92*0.1</f>
        <v>2.8260007183192631E-2</v>
      </c>
    </row>
    <row r="93" spans="1:10" x14ac:dyDescent="1.1000000000000001">
      <c r="A93">
        <v>8900</v>
      </c>
      <c r="B93">
        <v>564</v>
      </c>
      <c r="C93">
        <f>4*$M$3*10^3*100*0.001*SQRT(1-4*A93^2/(BASE限界!$L$13*BASE限界!$L$13*4))/(PI()*BASE限界!$L$13*2)</f>
        <v>3.0347102356431357</v>
      </c>
      <c r="D93" s="19">
        <v>0.51110938483907209</v>
      </c>
      <c r="E93">
        <v>1.030488494018893</v>
      </c>
      <c r="F93">
        <v>1.031561471642462E-2</v>
      </c>
      <c r="G93">
        <v>-0.17507241365542481</v>
      </c>
      <c r="H93">
        <v>0.41782254012509151</v>
      </c>
      <c r="I93">
        <f>1/2*BASE限界!$F$4*(BASE限界!$F$5^2)*(B93+B92)/2000*E93*0.1</f>
        <v>2.8001885619496467</v>
      </c>
      <c r="J93">
        <f>1/2*BASE限界!$F$4*(BASE限界!$F$5^2)*(B93+B92)/2000*F93*0.1</f>
        <v>2.8031042079623727E-2</v>
      </c>
    </row>
    <row r="94" spans="1:10" x14ac:dyDescent="1.1000000000000001">
      <c r="A94">
        <v>9000</v>
      </c>
      <c r="B94">
        <v>559.20000000000005</v>
      </c>
      <c r="C94">
        <f>4*$M$3*10^3*100*0.001*SQRT(1-4*A94^2/(BASE限界!$L$13*BASE限界!$L$13*4))/(PI()*BASE限界!$L$13*2)</f>
        <v>2.9653296168297767</v>
      </c>
      <c r="D94" s="19">
        <v>0.53780602659056786</v>
      </c>
      <c r="E94">
        <v>1.019373694001986</v>
      </c>
      <c r="F94">
        <v>1.032239012615525E-2</v>
      </c>
      <c r="G94">
        <v>-0.1750579778662863</v>
      </c>
      <c r="H94">
        <v>0.4197615081301922</v>
      </c>
      <c r="I94">
        <f>1/2*BASE限界!$F$4*(BASE限界!$F$5^2)*(B94+B93)/2000*E94*0.1</f>
        <v>2.7465114044942744</v>
      </c>
      <c r="J94">
        <f>1/2*BASE限界!$F$4*(BASE限界!$F$5^2)*(B94+B93)/2000*F94*0.1</f>
        <v>2.7811745947477092E-2</v>
      </c>
    </row>
    <row r="95" spans="1:10" x14ac:dyDescent="1.1000000000000001">
      <c r="A95">
        <v>9100</v>
      </c>
      <c r="B95">
        <v>554.4</v>
      </c>
      <c r="C95">
        <f>4*$M$3*10^3*100*0.001*SQRT(1-4*A95^2/(BASE限界!$L$13*BASE限界!$L$13*4))/(PI()*BASE限界!$L$13*2)</f>
        <v>2.8934826788864068</v>
      </c>
      <c r="D95" s="19">
        <v>0.57078795560023776</v>
      </c>
      <c r="E95">
        <v>1.0075989794833371</v>
      </c>
      <c r="F95">
        <v>1.032562004825296E-2</v>
      </c>
      <c r="G95">
        <v>-0.17504442198591119</v>
      </c>
      <c r="H95">
        <v>0.42186299607992039</v>
      </c>
      <c r="I95">
        <f>1/2*BASE限界!$F$4*(BASE限界!$F$5^2)*(B95+B94)/2000*E95*0.1</f>
        <v>2.6915833379753931</v>
      </c>
      <c r="J95">
        <f>1/2*BASE限界!$F$4*(BASE限界!$F$5^2)*(B95+B94)/2000*F95*0.1</f>
        <v>2.7582666757357457E-2</v>
      </c>
    </row>
    <row r="96" spans="1:10" x14ac:dyDescent="1.1000000000000001">
      <c r="A96">
        <v>9200</v>
      </c>
      <c r="B96">
        <v>549.6</v>
      </c>
      <c r="C96">
        <f>4*$M$3*10^3*100*0.001*SQRT(1-4*A96^2/(BASE限界!$L$13*BASE限界!$L$13*4))/(PI()*BASE限界!$L$13*2)</f>
        <v>2.8189808520138433</v>
      </c>
      <c r="D96" s="19">
        <v>0.61199487692314802</v>
      </c>
      <c r="E96">
        <v>0.9949229104776669</v>
      </c>
      <c r="F96">
        <v>1.032318092983911E-2</v>
      </c>
      <c r="G96">
        <v>-0.1750167531438882</v>
      </c>
      <c r="H96">
        <v>0.42418271922901291</v>
      </c>
      <c r="I96">
        <f>1/2*BASE限界!$F$4*(BASE限界!$F$5^2)*(B96+B95)/2000*E96*0.1</f>
        <v>2.6348105576586849</v>
      </c>
      <c r="J96">
        <f>1/2*BASE限界!$F$4*(BASE限界!$F$5^2)*(B96+B95)/2000*F96*0.1</f>
        <v>2.7338425737429468E-2</v>
      </c>
    </row>
    <row r="97" spans="1:10" x14ac:dyDescent="1.1000000000000001">
      <c r="A97">
        <v>9300</v>
      </c>
      <c r="B97">
        <v>544.79999999999995</v>
      </c>
      <c r="C97">
        <f>4*$M$3*10^3*100*0.001*SQRT(1-4*A97^2/(BASE限界!$L$13*BASE限界!$L$13*4))/(PI()*BASE限界!$L$13*2)</f>
        <v>2.7416077088932589</v>
      </c>
      <c r="D97" s="19">
        <v>0.6654500897880643</v>
      </c>
      <c r="E97">
        <v>0.98098571506169197</v>
      </c>
      <c r="F97">
        <v>1.031257218135518E-2</v>
      </c>
      <c r="G97">
        <v>-0.1750667139364257</v>
      </c>
      <c r="H97">
        <v>0.42680911480787409</v>
      </c>
      <c r="I97">
        <f>1/2*BASE限界!$F$4*(BASE限界!$F$5^2)*(B97+B96)/2000*E97*0.1</f>
        <v>2.5753108503532243</v>
      </c>
      <c r="J97">
        <f>1/2*BASE限界!$F$4*(BASE限界!$F$5^2)*(B97+B96)/2000*F97*0.1</f>
        <v>2.7072849916091421E-2</v>
      </c>
    </row>
    <row r="98" spans="1:10" x14ac:dyDescent="1.1000000000000001">
      <c r="A98">
        <v>9400</v>
      </c>
      <c r="B98">
        <v>540</v>
      </c>
      <c r="C98">
        <f>4*$M$3*10^3*100*0.001*SQRT(1-4*A98^2/(BASE限界!$L$13*BASE限界!$L$13*4))/(PI()*BASE限界!$L$13*2)</f>
        <v>2.6611128065796845</v>
      </c>
      <c r="D98" s="19">
        <v>0.71302102865409933</v>
      </c>
      <c r="E98">
        <v>0.96765316231568543</v>
      </c>
      <c r="F98">
        <v>1.03032741321355E-2</v>
      </c>
      <c r="G98">
        <v>-0.17507482458678211</v>
      </c>
      <c r="H98">
        <v>0.4294337343131136</v>
      </c>
      <c r="I98">
        <f>1/2*BASE限界!$F$4*(BASE限界!$F$5^2)*(B98+B97)/2000*E98*0.1</f>
        <v>2.5180264440149394</v>
      </c>
      <c r="J98">
        <f>1/2*BASE限界!$F$4*(BASE限界!$F$5^2)*(B98+B97)/2000*F98*0.1</f>
        <v>2.6811173398706225E-2</v>
      </c>
    </row>
    <row r="99" spans="1:10" x14ac:dyDescent="1.1000000000000001">
      <c r="A99">
        <v>9500</v>
      </c>
      <c r="B99">
        <v>530.66666666666663</v>
      </c>
      <c r="C99">
        <f>4*$M$3*10^3*100*0.001*SQRT(1-4*A99^2/(BASE限界!$L$13*BASE限界!$L$13*4))/(PI()*BASE限界!$L$13*2)</f>
        <v>2.5772036519567258</v>
      </c>
      <c r="D99" s="19">
        <v>0.68223823762432878</v>
      </c>
      <c r="E99">
        <v>0.95452256205883357</v>
      </c>
      <c r="F99">
        <v>1.0341481338188799E-2</v>
      </c>
      <c r="G99">
        <v>-0.17199366154518059</v>
      </c>
      <c r="H99">
        <v>0.42854559323916469</v>
      </c>
      <c r="I99">
        <f>1/2*BASE限界!$F$4*(BASE限界!$F$5^2)*(B99+B98)/2000*E99*0.1</f>
        <v>2.4514970225051234</v>
      </c>
      <c r="J99">
        <f>1/2*BASE限界!$F$4*(BASE限界!$F$5^2)*(B99+B98)/2000*F99*0.1</f>
        <v>2.6559991053725897E-2</v>
      </c>
    </row>
    <row r="100" spans="1:10" x14ac:dyDescent="1.1000000000000001">
      <c r="A100">
        <v>9600</v>
      </c>
      <c r="B100">
        <v>521.33333333333337</v>
      </c>
      <c r="C100">
        <f>4*$M$3*10^3*100*0.001*SQRT(1-4*A100^2/(BASE限界!$L$13*BASE限界!$L$13*4))/(PI()*BASE限界!$L$13*2)</f>
        <v>2.4895350394025342</v>
      </c>
      <c r="D100" s="19">
        <v>0.64510524567871197</v>
      </c>
      <c r="E100">
        <v>0.94212709211781975</v>
      </c>
      <c r="F100">
        <v>1.03784163986692E-2</v>
      </c>
      <c r="G100">
        <v>-0.1689205201574436</v>
      </c>
      <c r="H100">
        <v>0.4275147906961444</v>
      </c>
      <c r="I100">
        <f>1/2*BASE限界!$F$4*(BASE限界!$F$5^2)*(B100+B99)/2000*E100*0.1</f>
        <v>2.3774758954899862</v>
      </c>
      <c r="J100">
        <f>1/2*BASE限界!$F$4*(BASE限界!$F$5^2)*(B100+B99)/2000*F100*0.1</f>
        <v>2.6190134035661825E-2</v>
      </c>
    </row>
    <row r="101" spans="1:10" x14ac:dyDescent="1.1000000000000001">
      <c r="A101">
        <v>9700</v>
      </c>
      <c r="B101">
        <v>512</v>
      </c>
      <c r="C101">
        <f>4*$M$3*10^3*100*0.001*SQRT(1-4*A101^2/(BASE限界!$L$13*BASE限界!$L$13*4))/(PI()*BASE限界!$L$13*2)</f>
        <v>2.3976946251772939</v>
      </c>
      <c r="D101" s="19">
        <v>0.62127173782656686</v>
      </c>
      <c r="E101">
        <v>0.92766449032217146</v>
      </c>
      <c r="F101">
        <v>1.0435736767244829E-2</v>
      </c>
      <c r="G101">
        <v>-0.16574912845381651</v>
      </c>
      <c r="H101">
        <v>0.42678830059836931</v>
      </c>
      <c r="I101">
        <f>1/2*BASE限界!$F$4*(BASE限界!$F$5^2)*(B101+B100)/2000*E101*0.1</f>
        <v>2.2994409526234501</v>
      </c>
      <c r="J101">
        <f>1/2*BASE限界!$F$4*(BASE限界!$F$5^2)*(B101+B100)/2000*F101*0.1</f>
        <v>2.5867499234628721E-2</v>
      </c>
    </row>
    <row r="102" spans="1:10" x14ac:dyDescent="1.1000000000000001">
      <c r="A102">
        <v>9800</v>
      </c>
      <c r="B102">
        <v>502.66666666666669</v>
      </c>
      <c r="C102">
        <f>4*$M$3*10^3*100*0.001*SQRT(1-4*A102^2/(BASE限界!$L$13*BASE限界!$L$13*4))/(PI()*BASE限界!$L$13*2)</f>
        <v>2.3011829725670232</v>
      </c>
      <c r="D102" s="19">
        <v>0.60988905122288506</v>
      </c>
      <c r="E102">
        <v>0.91185446106323398</v>
      </c>
      <c r="F102">
        <v>1.0492502930833579E-2</v>
      </c>
      <c r="G102">
        <v>-0.16258501846466719</v>
      </c>
      <c r="H102">
        <v>0.42634991457375521</v>
      </c>
      <c r="I102">
        <f>1/2*BASE限界!$F$4*(BASE限界!$F$5^2)*(B102+B101)/2000*E102*0.1</f>
        <v>2.2194216106165161</v>
      </c>
      <c r="J102">
        <f>1/2*BASE限界!$F$4*(BASE限界!$F$5^2)*(B102+B101)/2000*F102*0.1</f>
        <v>2.5538382218359613E-2</v>
      </c>
    </row>
    <row r="103" spans="1:10" x14ac:dyDescent="1.1000000000000001">
      <c r="A103">
        <v>9900</v>
      </c>
      <c r="B103">
        <v>493.33333333333331</v>
      </c>
      <c r="C103">
        <f>4*$M$3*10^3*100*0.001*SQRT(1-4*A103^2/(BASE限界!$L$13*BASE限界!$L$13*4))/(PI()*BASE限界!$L$13*2)</f>
        <v>2.1993852289442004</v>
      </c>
      <c r="D103" s="19">
        <v>0.61387902461848176</v>
      </c>
      <c r="E103">
        <v>0.89457613062732433</v>
      </c>
      <c r="F103">
        <v>1.054275370144727E-2</v>
      </c>
      <c r="G103">
        <v>-0.1594620894887657</v>
      </c>
      <c r="H103">
        <v>0.42627494834467689</v>
      </c>
      <c r="I103">
        <f>1/2*BASE限界!$F$4*(BASE限界!$F$5^2)*(B103+B102)/2000*E103*0.1</f>
        <v>2.1373100818980566</v>
      </c>
      <c r="J103">
        <f>1/2*BASE限界!$F$4*(BASE限界!$F$5^2)*(B103+B102)/2000*F103*0.1</f>
        <v>2.5188615038576841E-2</v>
      </c>
    </row>
    <row r="104" spans="1:10" x14ac:dyDescent="1.1000000000000001">
      <c r="A104">
        <v>10000</v>
      </c>
      <c r="B104">
        <v>484</v>
      </c>
      <c r="C104">
        <f>4*$M$3*10^3*100*0.001*SQRT(1-4*A104^2/(BASE限界!$L$13*BASE限界!$L$13*4))/(PI()*BASE限界!$L$13*2)</f>
        <v>2.0915296918286099</v>
      </c>
      <c r="D104" s="19">
        <v>0.63458871150390195</v>
      </c>
      <c r="E104">
        <v>0.87568401703890442</v>
      </c>
      <c r="F104">
        <v>1.0587448429643339E-2</v>
      </c>
      <c r="G104">
        <v>-0.15640299084522999</v>
      </c>
      <c r="H104">
        <v>0.42662322906325889</v>
      </c>
      <c r="I104">
        <f>1/2*BASE限界!$F$4*(BASE限界!$F$5^2)*(B104+B103)/2000*E104*0.1</f>
        <v>2.0529625366191513</v>
      </c>
      <c r="J104">
        <f>1/2*BASE限界!$F$4*(BASE限界!$F$5^2)*(B104+B103)/2000*F104*0.1</f>
        <v>2.4821322031140122E-2</v>
      </c>
    </row>
    <row r="105" spans="1:10" x14ac:dyDescent="1.1000000000000001">
      <c r="A105">
        <v>10100</v>
      </c>
      <c r="B105">
        <v>474.66666666666657</v>
      </c>
      <c r="C105">
        <f>4*$M$3*10^3*100*0.001*SQRT(1-4*A105^2/(BASE限界!$L$13*BASE限界!$L$13*4))/(PI()*BASE限界!$L$13*2)</f>
        <v>1.9766249701803928</v>
      </c>
      <c r="D105" s="19">
        <v>0.67654967479597394</v>
      </c>
      <c r="E105">
        <v>0.8547192346537652</v>
      </c>
      <c r="F105">
        <v>1.062795171193235E-2</v>
      </c>
      <c r="G105">
        <v>-0.15341604571989861</v>
      </c>
      <c r="H105">
        <v>0.4275198811807529</v>
      </c>
      <c r="I105">
        <f>1/2*BASE限界!$F$4*(BASE限界!$F$5^2)*(B105+B104)/2000*E105*0.1</f>
        <v>1.9655404886832277</v>
      </c>
      <c r="J105">
        <f>1/2*BASE限界!$F$4*(BASE限界!$F$5^2)*(B105+B104)/2000*F105*0.1</f>
        <v>2.4440387620427627E-2</v>
      </c>
    </row>
    <row r="106" spans="1:10" x14ac:dyDescent="1.1000000000000001">
      <c r="A106">
        <v>10200</v>
      </c>
      <c r="B106">
        <v>465.33333333333331</v>
      </c>
      <c r="C106">
        <f>4*$M$3*10^3*100*0.001*SQRT(1-4*A106^2/(BASE限界!$L$13*BASE限界!$L$13*4))/(PI()*BASE限界!$L$13*2)</f>
        <v>1.8533604204573408</v>
      </c>
      <c r="D106" s="19">
        <v>0.74318788655706292</v>
      </c>
      <c r="E106">
        <v>0.83125962481004589</v>
      </c>
      <c r="F106">
        <v>1.066321615948272E-2</v>
      </c>
      <c r="G106">
        <v>-0.15044424767326431</v>
      </c>
      <c r="H106">
        <v>0.42912166939623692</v>
      </c>
      <c r="I106">
        <f>1/2*BASE限界!$F$4*(BASE限界!$F$5^2)*(B106+B105)/2000*E106*0.1</f>
        <v>1.8743704566322543</v>
      </c>
      <c r="J106">
        <f>1/2*BASE限界!$F$4*(BASE限界!$F$5^2)*(B106+B105)/2000*F106*0.1</f>
        <v>2.4044013140401617E-2</v>
      </c>
    </row>
    <row r="107" spans="1:10" x14ac:dyDescent="1.1000000000000001">
      <c r="A107">
        <v>10300</v>
      </c>
      <c r="B107">
        <v>456</v>
      </c>
      <c r="C107">
        <f>4*$M$3*10^3*100*0.001*SQRT(1-4*A107^2/(BASE限界!$L$13*BASE限界!$L$13*4))/(PI()*BASE限界!$L$13*2)</f>
        <v>1.7199395855471777</v>
      </c>
      <c r="D107" s="19">
        <v>0.84388805083280205</v>
      </c>
      <c r="E107">
        <v>0.80431838968671654</v>
      </c>
      <c r="F107">
        <v>1.069549956905866E-2</v>
      </c>
      <c r="G107">
        <v>-0.14751955333801969</v>
      </c>
      <c r="H107">
        <v>0.43174823085777858</v>
      </c>
      <c r="I107">
        <f>1/2*BASE限界!$F$4*(BASE限界!$F$5^2)*(B107+B106)/2000*E107*0.1</f>
        <v>1.7776066746746613</v>
      </c>
      <c r="J107">
        <f>1/2*BASE限界!$F$4*(BASE限界!$F$5^2)*(B107+B106)/2000*F107*0.1</f>
        <v>2.363789224108627E-2</v>
      </c>
    </row>
    <row r="108" spans="1:10" x14ac:dyDescent="1.1000000000000001">
      <c r="A108">
        <v>10400</v>
      </c>
      <c r="B108">
        <v>446.66666666666657</v>
      </c>
      <c r="C108">
        <f>4*$M$3*10^3*100*0.001*SQRT(1-4*A108^2/(BASE限界!$L$13*BASE限界!$L$13*4))/(PI()*BASE限界!$L$13*2)</f>
        <v>1.5737815166610005</v>
      </c>
      <c r="D108" s="19">
        <v>0.99380867738938639</v>
      </c>
      <c r="E108">
        <v>0.77210996731023074</v>
      </c>
      <c r="F108">
        <v>1.07016991349003E-2</v>
      </c>
      <c r="G108">
        <v>-0.1446274441934115</v>
      </c>
      <c r="H108">
        <v>0.43589391790456028</v>
      </c>
      <c r="I108">
        <f>1/2*BASE限界!$F$4*(BASE限界!$F$5^2)*(B108+B107)/2000*E108*0.1</f>
        <v>1.6718505565963029</v>
      </c>
      <c r="J108">
        <f>1/2*BASE限界!$F$4*(BASE限界!$F$5^2)*(B108+B107)/2000*F108*0.1</f>
        <v>2.3172400840177791E-2</v>
      </c>
    </row>
    <row r="109" spans="1:10" x14ac:dyDescent="1.1000000000000001">
      <c r="A109">
        <v>10500</v>
      </c>
      <c r="B109">
        <v>437.33333333333331</v>
      </c>
      <c r="C109">
        <f>4*$M$3*10^3*100*0.001*SQRT(1-4*A109^2/(BASE限界!$L$13*BASE限界!$L$13*4))/(PI()*BASE限界!$L$13*2)</f>
        <v>1.4109334147551436</v>
      </c>
      <c r="D109" s="19">
        <v>1.217241514687369</v>
      </c>
      <c r="E109">
        <v>0.73223966756004755</v>
      </c>
      <c r="F109">
        <v>1.071473251705707E-2</v>
      </c>
      <c r="G109">
        <v>-0.14191725684008971</v>
      </c>
      <c r="H109">
        <v>0.44273973050281901</v>
      </c>
      <c r="I109">
        <f>1/2*BASE限界!$F$4*(BASE限界!$F$5^2)*(B109+B108)/2000*E109*0.1</f>
        <v>1.5527316558383788</v>
      </c>
      <c r="J109">
        <f>1/2*BASE限界!$F$4*(BASE限界!$F$5^2)*(B109+B108)/2000*F109*0.1</f>
        <v>2.2720845510204504E-2</v>
      </c>
    </row>
    <row r="110" spans="1:10" x14ac:dyDescent="1.1000000000000001">
      <c r="A110">
        <v>10600</v>
      </c>
      <c r="B110">
        <v>428</v>
      </c>
      <c r="C110">
        <f>4*$M$3*10^3*100*0.001*SQRT(1-4*A110^2/(BASE限界!$L$13*BASE限界!$L$13*4))/(PI()*BASE限界!$L$13*2)</f>
        <v>1.2247557691224149</v>
      </c>
      <c r="D110" s="19">
        <v>1.5522164942601631</v>
      </c>
      <c r="E110">
        <v>0.68005229532330547</v>
      </c>
      <c r="F110">
        <v>1.070542704266568E-2</v>
      </c>
      <c r="G110">
        <v>-0.13924860555415181</v>
      </c>
      <c r="H110">
        <v>0.45422204493819329</v>
      </c>
      <c r="I110">
        <f>1/2*BASE限界!$F$4*(BASE限界!$F$5^2)*(B110+B109)/2000*E110*0.1</f>
        <v>1.4116162012125768</v>
      </c>
      <c r="J110">
        <f>1/2*BASE限界!$F$4*(BASE限界!$F$5^2)*(B110+B109)/2000*F110*0.1</f>
        <v>2.2221753177293087E-2</v>
      </c>
    </row>
    <row r="111" spans="1:10" x14ac:dyDescent="1.1000000000000001">
      <c r="A111">
        <v>10700</v>
      </c>
      <c r="B111">
        <v>418.66666666666657</v>
      </c>
      <c r="C111">
        <f>4*$M$3*10^3*100*0.001*SQRT(1-4*A111^2/(BASE限界!$L$13*BASE限界!$L$13*4))/(PI()*BASE限界!$L$13*2)</f>
        <v>1.0023318021303524</v>
      </c>
      <c r="D111" s="19">
        <v>2.1046531444022638</v>
      </c>
      <c r="E111">
        <v>0.6085537805293123</v>
      </c>
      <c r="F111">
        <v>1.062865446639742E-2</v>
      </c>
      <c r="G111">
        <v>-0.13684544448097541</v>
      </c>
      <c r="H111">
        <v>0.47513801845209658</v>
      </c>
      <c r="I111">
        <f>1/2*BASE限界!$F$4*(BASE限界!$F$5^2)*(B111+B110)/2000*E111*0.1</f>
        <v>1.23595402618025</v>
      </c>
      <c r="J111">
        <f>1/2*BASE限界!$F$4*(BASE限界!$F$5^2)*(B111+B110)/2000*F111*0.1</f>
        <v>2.1586470581444098E-2</v>
      </c>
    </row>
    <row r="112" spans="1:10" x14ac:dyDescent="1.1000000000000001">
      <c r="A112">
        <v>10800</v>
      </c>
      <c r="B112">
        <v>409.33333333333331</v>
      </c>
      <c r="C112">
        <f>4*$M$3*10^3*100*0.001*SQRT(1-4*A112^2/(BASE限界!$L$13*BASE限界!$L$13*4))/(PI()*BASE限界!$L$13*2)</f>
        <v>0.71039435777765925</v>
      </c>
      <c r="D112" s="19">
        <v>3.165519283674004</v>
      </c>
      <c r="E112">
        <v>0.59506087053839773</v>
      </c>
      <c r="F112">
        <v>1.0732063057973071E-2</v>
      </c>
      <c r="G112">
        <v>-0.13364380692366731</v>
      </c>
      <c r="H112">
        <v>0.47491571418528572</v>
      </c>
      <c r="I112">
        <f>1/2*BASE限界!$F$4*(BASE限界!$F$5^2)*(B112+B111)/2000*E112*0.1</f>
        <v>1.1819051362919628</v>
      </c>
      <c r="J112">
        <f>1/2*BASE限界!$F$4*(BASE限界!$F$5^2)*(B112+B111)/2000*F112*0.1</f>
        <v>2.1315937711970795E-2</v>
      </c>
    </row>
    <row r="113" spans="1:10" x14ac:dyDescent="1.1000000000000001">
      <c r="A113">
        <v>10900</v>
      </c>
      <c r="B113">
        <v>400</v>
      </c>
      <c r="C113">
        <f>4*$M$3*10^3*100*0.001*SQRT(1-4*A113^2/(BASE限界!$L$13*BASE限界!$L$13*4))/(PI()*BASE限界!$L$13*2)</f>
        <v>0</v>
      </c>
      <c r="D113" s="19">
        <v>7.57559832387836</v>
      </c>
      <c r="E113">
        <v>0.58177635244179837</v>
      </c>
      <c r="F113">
        <v>1.0828860596349771E-2</v>
      </c>
      <c r="G113">
        <v>-0.13047809900331001</v>
      </c>
      <c r="H113">
        <v>0.47468047524917251</v>
      </c>
      <c r="I113">
        <f>1/2*BASE限界!$F$4*(BASE限界!$F$5^2)*(B113+B112)/2000*E113*0.1</f>
        <v>1.1294691729821522</v>
      </c>
      <c r="J113">
        <f>1/2*BASE限界!$F$4*(BASE限界!$F$5^2)*(B113+B112)/2000*F113*0.1</f>
        <v>2.1023309336592161E-2</v>
      </c>
    </row>
    <row r="114" spans="1:10" x14ac:dyDescent="1.1000000000000001">
      <c r="A114">
        <v>11000</v>
      </c>
      <c r="C114" t="e">
        <f>4*$M$3*10^3*100*0.001*SQRT(1-4*A114^2/(BASE限界!$L$13*BASE限界!$L$13*4))/(PI()*BASE限界!$L$13*2)</f>
        <v>#NUM!</v>
      </c>
      <c r="D114" s="19"/>
      <c r="J114">
        <f>1/2*BASE限界!$F$4*(BASE限界!$F$5^2)*(B114+B113)/2000*F114*0.1</f>
        <v>0</v>
      </c>
    </row>
    <row r="115" spans="1:10" x14ac:dyDescent="1.1000000000000001">
      <c r="A115">
        <v>11100</v>
      </c>
      <c r="C115" t="e">
        <f>4*$M$3*10^3*100*0.001*SQRT(1-4*A115^2/(BASE限界!$L$13*BASE限界!$L$13*4))/(PI()*BASE限界!$L$13*2)</f>
        <v>#NUM!</v>
      </c>
      <c r="D115" s="19"/>
      <c r="J115">
        <f>1/2*BASE限界!$F$4*(BASE限界!$F$5^2)*(B115+B114)/2000*F115*0.1</f>
        <v>0</v>
      </c>
    </row>
    <row r="116" spans="1:10" x14ac:dyDescent="1.1000000000000001">
      <c r="A116">
        <v>11200</v>
      </c>
      <c r="C116" t="e">
        <f>4*$M$3*10^3*100*0.001*SQRT(1-4*A116^2/(BASE限界!$L$13*BASE限界!$L$13*4))/(PI()*BASE限界!$L$13*2)</f>
        <v>#NUM!</v>
      </c>
      <c r="D116" s="19"/>
      <c r="J116">
        <f>1/2*BASE限界!$F$4*(BASE限界!$F$5^2)*(B116+B115)/2000*F116*0.1</f>
        <v>0</v>
      </c>
    </row>
    <row r="117" spans="1:10" x14ac:dyDescent="1.1000000000000001">
      <c r="A117">
        <v>11300</v>
      </c>
      <c r="C117" t="e">
        <f>4*$M$3*10^3*100*0.001*SQRT(1-4*A117^2/(BASE限界!$L$13*BASE限界!$L$13*4))/(PI()*BASE限界!$L$13*2)</f>
        <v>#NUM!</v>
      </c>
      <c r="D117" s="19"/>
      <c r="J117">
        <f>1/2*BASE限界!$F$4*(BASE限界!$F$5^2)*(B117+B116)/2000*F117*0.1</f>
        <v>0</v>
      </c>
    </row>
    <row r="118" spans="1:10" x14ac:dyDescent="1.1000000000000001">
      <c r="A118">
        <v>11400</v>
      </c>
      <c r="C118" t="e">
        <f>4*$M$3*10^3*100*0.001*SQRT(1-4*A118^2/(BASE限界!$L$13*BASE限界!$L$13*4))/(PI()*BASE限界!$L$13*2)</f>
        <v>#NUM!</v>
      </c>
      <c r="D118" s="19"/>
      <c r="J118">
        <f>1/2*BASE限界!$F$4*(BASE限界!$F$5^2)*(B118+B117)/2000*F118*0.1</f>
        <v>0</v>
      </c>
    </row>
    <row r="119" spans="1:10" x14ac:dyDescent="1.1000000000000001">
      <c r="A119">
        <v>11500</v>
      </c>
      <c r="C119" t="e">
        <f>4*$M$3*10^3*100*0.001*SQRT(1-4*A119^2/(BASE限界!$L$13*BASE限界!$L$13*4))/(PI()*BASE限界!$L$13*2)</f>
        <v>#NUM!</v>
      </c>
      <c r="D119" s="19"/>
      <c r="J119">
        <f>1/2*BASE限界!$F$4*(BASE限界!$F$5^2)*(B119+B118)/2000*F119*0.1</f>
        <v>0</v>
      </c>
    </row>
    <row r="120" spans="1:10" x14ac:dyDescent="1.1000000000000001">
      <c r="A120">
        <v>11600</v>
      </c>
      <c r="C120" t="e">
        <f>4*$M$3*10^3*100*0.001*SQRT(1-4*A120^2/(BASE限界!$L$13*BASE限界!$L$13*4))/(PI()*BASE限界!$L$13*2)</f>
        <v>#NUM!</v>
      </c>
      <c r="D120" s="19"/>
      <c r="J120">
        <f>1/2*BASE限界!$F$4*(BASE限界!$F$5^2)*(B120+B119)/2000*F120*0.1</f>
        <v>0</v>
      </c>
    </row>
    <row r="121" spans="1:10" x14ac:dyDescent="1.1000000000000001">
      <c r="A121">
        <v>11700</v>
      </c>
      <c r="C121" t="e">
        <f>4*$M$3*10^3*100*0.001*SQRT(1-4*A121^2/(BASE限界!$L$13*BASE限界!$L$13*4))/(PI()*BASE限界!$L$13*2)</f>
        <v>#NUM!</v>
      </c>
      <c r="D121" s="19"/>
      <c r="J121">
        <f>1/2*BASE限界!$F$4*(BASE限界!$F$5^2)*(B121+B120)/2000*F121*0.1</f>
        <v>0</v>
      </c>
    </row>
    <row r="122" spans="1:10" x14ac:dyDescent="1.1000000000000001">
      <c r="A122">
        <v>11800</v>
      </c>
      <c r="C122" t="e">
        <f>4*$M$3*10^3*100*0.001*SQRT(1-4*A122^2/(BASE限界!$L$13*BASE限界!$L$13*4))/(PI()*BASE限界!$L$13*2)</f>
        <v>#NUM!</v>
      </c>
      <c r="D122" s="19"/>
      <c r="J122">
        <f>1/2*BASE限界!$F$4*(BASE限界!$F$5^2)*(B122+B121)/2000*F122*0.1</f>
        <v>0</v>
      </c>
    </row>
    <row r="123" spans="1:10" x14ac:dyDescent="1.1000000000000001">
      <c r="A123">
        <v>11900</v>
      </c>
      <c r="C123" t="e">
        <f>4*$M$3*10^3*100*0.001*SQRT(1-4*A123^2/(BASE限界!$L$13*BASE限界!$L$13*4))/(PI()*BASE限界!$L$13*2)</f>
        <v>#NUM!</v>
      </c>
      <c r="D123" s="19"/>
      <c r="J123">
        <f>1/2*BASE限界!$F$4*(BASE限界!$F$5^2)*(B123+B122)/2000*F123*0.1</f>
        <v>0</v>
      </c>
    </row>
    <row r="124" spans="1:10" x14ac:dyDescent="1.1000000000000001">
      <c r="A124">
        <v>12000</v>
      </c>
      <c r="C124" t="e">
        <f>4*$M$3*10^3*100*0.001*SQRT(1-4*A124^2/(BASE限界!$L$13*BASE限界!$L$13*4))/(PI()*BASE限界!$L$13*2)</f>
        <v>#NUM!</v>
      </c>
      <c r="D124" s="19"/>
      <c r="J124">
        <f>1/2*BASE限界!$F$4*(BASE限界!$F$5^2)*(B124+B123)/2000*F124*0.1</f>
        <v>0</v>
      </c>
    </row>
    <row r="125" spans="1:10" x14ac:dyDescent="1.1000000000000001">
      <c r="A125">
        <v>12100</v>
      </c>
      <c r="C125" t="e">
        <f>4*$M$3*10^3*100*0.001*SQRT(1-4*A125^2/(BASE限界!$L$13*BASE限界!$L$13*4))/(PI()*BASE限界!$L$13*2)</f>
        <v>#NUM!</v>
      </c>
      <c r="D125" s="19"/>
      <c r="J125">
        <f>1/2*BASE限界!$F$4*(BASE限界!$F$5^2)*(B125+B124)/2000*F125*0.1</f>
        <v>0</v>
      </c>
    </row>
    <row r="126" spans="1:10" x14ac:dyDescent="1.1000000000000001">
      <c r="A126">
        <v>12200</v>
      </c>
      <c r="C126" t="e">
        <f>4*$M$3*10^3*100*0.001*SQRT(1-4*A126^2/(BASE限界!$L$13*BASE限界!$L$13*4))/(PI()*BASE限界!$L$13*2)</f>
        <v>#NUM!</v>
      </c>
      <c r="D126" s="19"/>
      <c r="J126">
        <f>1/2*BASE限界!$F$4*(BASE限界!$F$5^2)*(B126+B125)/2000*F126*0.1</f>
        <v>0</v>
      </c>
    </row>
    <row r="127" spans="1:10" x14ac:dyDescent="1.1000000000000001">
      <c r="A127">
        <v>12300</v>
      </c>
      <c r="C127" t="e">
        <f>4*$M$3*10^3*100*0.001*SQRT(1-4*A127^2/(BASE限界!$L$13*BASE限界!$L$13*4))/(PI()*BASE限界!$L$13*2)</f>
        <v>#NUM!</v>
      </c>
      <c r="D127" s="19"/>
      <c r="J127">
        <f>1/2*BASE限界!$F$4*(BASE限界!$F$5^2)*(B127+B126)/2000*F127*0.1</f>
        <v>0</v>
      </c>
    </row>
    <row r="128" spans="1:10" x14ac:dyDescent="1.1000000000000001">
      <c r="A128">
        <v>12400</v>
      </c>
      <c r="C128" t="e">
        <f>4*$M$3*10^3*100*0.001*SQRT(1-4*A128^2/(BASE限界!$L$13*BASE限界!$L$13*4))/(PI()*BASE限界!$L$13*2)</f>
        <v>#NUM!</v>
      </c>
      <c r="D128" s="19"/>
      <c r="J128">
        <f>1/2*BASE限界!$F$4*(BASE限界!$F$5^2)*(B128+B127)/2000*F128*0.1</f>
        <v>0</v>
      </c>
    </row>
    <row r="129" spans="1:10" x14ac:dyDescent="1.1000000000000001">
      <c r="A129">
        <v>12500</v>
      </c>
      <c r="C129" t="e">
        <f>4*$M$3*10^3*100*0.001*SQRT(1-4*A129^2/(BASE限界!$L$13*BASE限界!$L$13*4))/(PI()*BASE限界!$L$13*2)</f>
        <v>#NUM!</v>
      </c>
      <c r="D129" s="19"/>
      <c r="J129">
        <f>1/2*BASE限界!$F$4*(BASE限界!$F$5^2)*(B129+B128)/2000*F129*0.1</f>
        <v>0</v>
      </c>
    </row>
    <row r="130" spans="1:10" x14ac:dyDescent="1.1000000000000001">
      <c r="A130">
        <v>12600</v>
      </c>
      <c r="C130" t="e">
        <f>4*$M$3*10^3*100*0.001*SQRT(1-4*A130^2/(BASE限界!$L$13*BASE限界!$L$13*4))/(PI()*BASE限界!$L$13*2)</f>
        <v>#NUM!</v>
      </c>
      <c r="D130" s="19"/>
      <c r="J130">
        <f>1/2*BASE限界!$F$4*(BASE限界!$F$5^2)*(B130+B129)/2000*F130*0.1</f>
        <v>0</v>
      </c>
    </row>
    <row r="131" spans="1:10" x14ac:dyDescent="1.1000000000000001">
      <c r="A131">
        <v>12700</v>
      </c>
      <c r="C131" t="e">
        <f>4*$M$3*10^3*100*0.001*SQRT(1-4*A131^2/(BASE限界!$L$13*BASE限界!$L$13*4))/(PI()*BASE限界!$L$13*2)</f>
        <v>#NUM!</v>
      </c>
      <c r="D131" s="19"/>
      <c r="J131">
        <f>1/2*BASE限界!$F$4*(BASE限界!$F$5^2)*(B131+B130)/2000*F131*0.1</f>
        <v>0</v>
      </c>
    </row>
    <row r="132" spans="1:10" x14ac:dyDescent="1.1000000000000001">
      <c r="A132">
        <v>12800</v>
      </c>
      <c r="C132" t="e">
        <f>4*$M$3*10^3*100*0.001*SQRT(1-4*A132^2/(BASE限界!$L$13*BASE限界!$L$13*4))/(PI()*BASE限界!$L$13*2)</f>
        <v>#NUM!</v>
      </c>
      <c r="D132" s="19"/>
      <c r="J132">
        <f>1/2*BASE限界!$F$4*(BASE限界!$F$5^2)*(B132+B131)/2000*F132*0.1</f>
        <v>0</v>
      </c>
    </row>
    <row r="133" spans="1:10" x14ac:dyDescent="1.1000000000000001">
      <c r="A133">
        <v>12900</v>
      </c>
      <c r="C133" t="e">
        <f>4*$M$3*10^3*100*0.001*SQRT(1-4*A133^2/(BASE限界!$L$13*BASE限界!$L$13*4))/(PI()*BASE限界!$L$13*2)</f>
        <v>#NUM!</v>
      </c>
      <c r="D133" s="19"/>
      <c r="J133">
        <f>1/2*BASE限界!$F$4*(BASE限界!$F$5^2)*(B133+B132)/2000*F133*0.1</f>
        <v>0</v>
      </c>
    </row>
    <row r="134" spans="1:10" x14ac:dyDescent="1.1000000000000001">
      <c r="A134">
        <v>13000</v>
      </c>
      <c r="C134" t="e">
        <f>4*$M$3*10^3*100*0.001*SQRT(1-4*A134^2/(BASE限界!$L$13*BASE限界!$L$13*4))/(PI()*BASE限界!$L$13*2)</f>
        <v>#NUM!</v>
      </c>
      <c r="D134" s="19"/>
      <c r="J134">
        <f>1/2*BASE限界!$F$4*(BASE限界!$F$5^2)*(B134+B133)/2000*F134*0.1</f>
        <v>0</v>
      </c>
    </row>
    <row r="135" spans="1:10" x14ac:dyDescent="1.1000000000000001">
      <c r="A135">
        <v>13100</v>
      </c>
      <c r="C135" t="e">
        <f>4*$M$3*10^3*100*0.001*SQRT(1-4*A135^2/(BASE限界!$L$13*BASE限界!$L$13*4))/(PI()*BASE限界!$L$13*2)</f>
        <v>#NUM!</v>
      </c>
      <c r="D135" s="19"/>
      <c r="J135">
        <f>1/2*BASE限界!$F$4*(BASE限界!$F$5^2)*(B135+B134)/2000*F135*0.1</f>
        <v>0</v>
      </c>
    </row>
    <row r="136" spans="1:10" x14ac:dyDescent="1.1000000000000001">
      <c r="A136">
        <v>13200</v>
      </c>
      <c r="C136" t="e">
        <f>4*$M$3*10^3*100*0.001*SQRT(1-4*A136^2/(BASE限界!$L$13*BASE限界!$L$13*4))/(PI()*BASE限界!$L$13*2)</f>
        <v>#NUM!</v>
      </c>
      <c r="D136" s="19"/>
      <c r="J136">
        <f>1/2*BASE限界!$F$4*(BASE限界!$F$5^2)*(B136+B135)/2000*F136*0.1</f>
        <v>0</v>
      </c>
    </row>
    <row r="137" spans="1:10" x14ac:dyDescent="1.1000000000000001">
      <c r="A137">
        <v>13300</v>
      </c>
      <c r="C137" t="e">
        <f>4*$M$3*10^3*100*0.001*SQRT(1-4*A137^2/(BASE限界!$L$13*BASE限界!$L$13*4))/(PI()*BASE限界!$L$13*2)</f>
        <v>#NUM!</v>
      </c>
      <c r="D137" s="19"/>
      <c r="J137">
        <f>1/2*BASE限界!$F$4*(BASE限界!$F$5^2)*(B137+B136)/2000*F137*0.1</f>
        <v>0</v>
      </c>
    </row>
    <row r="138" spans="1:10" x14ac:dyDescent="1.1000000000000001">
      <c r="A138">
        <v>13400</v>
      </c>
      <c r="C138" t="e">
        <f>4*$M$3*10^3*100*0.001*SQRT(1-4*A138^2/(BASE限界!$L$13*BASE限界!$L$13*4))/(PI()*BASE限界!$L$13*2)</f>
        <v>#NUM!</v>
      </c>
      <c r="D138" s="19"/>
      <c r="J138">
        <f>1/2*BASE限界!$F$4*(BASE限界!$F$5^2)*(B138+B137)/2000*F138*0.1</f>
        <v>0</v>
      </c>
    </row>
    <row r="139" spans="1:10" x14ac:dyDescent="1.1000000000000001">
      <c r="A139">
        <v>13500</v>
      </c>
      <c r="C139" t="e">
        <f>4*$M$3*10^3*100*0.001*SQRT(1-4*A139^2/(BASE限界!$L$13*BASE限界!$L$13*4))/(PI()*BASE限界!$L$13*2)</f>
        <v>#NUM!</v>
      </c>
      <c r="D139" s="19"/>
      <c r="J139">
        <f>1/2*BASE限界!$F$4*(BASE限界!$F$5^2)*(B139+B138)/2000*F139*0.1</f>
        <v>0</v>
      </c>
    </row>
    <row r="140" spans="1:10" x14ac:dyDescent="1.1000000000000001">
      <c r="A140">
        <v>13600</v>
      </c>
      <c r="C140" t="e">
        <f>4*$M$3*10^3*100*0.001*SQRT(1-4*A140^2/(BASE限界!$L$13*BASE限界!$L$13*4))/(PI()*BASE限界!$L$13*2)</f>
        <v>#NUM!</v>
      </c>
      <c r="D140" s="19"/>
      <c r="J140">
        <f>1/2*BASE限界!$F$4*(BASE限界!$F$5^2)*(B140+B139)/2000*F140*0.1</f>
        <v>0</v>
      </c>
    </row>
    <row r="141" spans="1:10" x14ac:dyDescent="1.1000000000000001">
      <c r="A141">
        <v>13700</v>
      </c>
      <c r="C141" t="e">
        <f>4*$M$3*10^3*100*0.001*SQRT(1-4*A141^2/(BASE限界!$L$13*BASE限界!$L$13*4))/(PI()*BASE限界!$L$13*2)</f>
        <v>#NUM!</v>
      </c>
      <c r="D141" s="19"/>
      <c r="J141">
        <f>1/2*BASE限界!$F$4*(BASE限界!$F$5^2)*(B141+B140)/2000*F141*0.1</f>
        <v>0</v>
      </c>
    </row>
    <row r="142" spans="1:10" x14ac:dyDescent="1.1000000000000001">
      <c r="A142">
        <v>13800</v>
      </c>
      <c r="C142" t="e">
        <f>4*$M$3*10^3*100*0.001*SQRT(1-4*A142^2/(BASE限界!$L$13*BASE限界!$L$13*4))/(PI()*BASE限界!$L$13*2)</f>
        <v>#NUM!</v>
      </c>
      <c r="D142" s="19"/>
      <c r="J142">
        <f>1/2*BASE限界!$F$4*(BASE限界!$F$5^2)*(B142+B141)/2000*F142*0.1</f>
        <v>0</v>
      </c>
    </row>
    <row r="143" spans="1:10" x14ac:dyDescent="1.1000000000000001">
      <c r="A143">
        <v>13900</v>
      </c>
      <c r="C143" t="e">
        <f>4*$M$3*10^3*100*0.001*SQRT(1-4*A143^2/(BASE限界!$L$13*BASE限界!$L$13*4))/(PI()*BASE限界!$L$13*2)</f>
        <v>#NUM!</v>
      </c>
      <c r="D143" s="19"/>
      <c r="J143">
        <f>1/2*BASE限界!$F$4*(BASE限界!$F$5^2)*(B143+B142)/2000*F143*0.1</f>
        <v>0</v>
      </c>
    </row>
    <row r="144" spans="1:10" x14ac:dyDescent="1.1000000000000001">
      <c r="A144">
        <v>14000</v>
      </c>
      <c r="C144" t="e">
        <f>4*$M$3*10^3*100*0.001*SQRT(1-4*A144^2/(BASE限界!$L$13*BASE限界!$L$13*4))/(PI()*BASE限界!$L$13*2)</f>
        <v>#NUM!</v>
      </c>
      <c r="D144" s="19"/>
      <c r="J144">
        <f>1/2*BASE限界!$F$4*(BASE限界!$F$5^2)*(B144+B143)/2000*F144*0.1</f>
        <v>0</v>
      </c>
    </row>
    <row r="145" spans="1:10" x14ac:dyDescent="1.1000000000000001">
      <c r="A145">
        <v>14100</v>
      </c>
      <c r="C145" t="e">
        <f>4*$M$3*10^3*100*0.001*SQRT(1-4*A145^2/(BASE限界!$L$13*BASE限界!$L$13*4))/(PI()*BASE限界!$L$13*2)</f>
        <v>#NUM!</v>
      </c>
      <c r="D145" s="19"/>
      <c r="J145">
        <f>1/2*BASE限界!$F$4*(BASE限界!$F$5^2)*(B145+B144)/2000*F145*0.1</f>
        <v>0</v>
      </c>
    </row>
    <row r="146" spans="1:10" x14ac:dyDescent="1.1000000000000001">
      <c r="A146">
        <v>14200</v>
      </c>
      <c r="C146" t="e">
        <f>4*$M$3*10^3*100*0.001*SQRT(1-4*A146^2/(BASE限界!$L$13*BASE限界!$L$13*4))/(PI()*BASE限界!$L$13*2)</f>
        <v>#NUM!</v>
      </c>
      <c r="D146" s="19"/>
      <c r="J146">
        <f>1/2*BASE限界!$F$4*(BASE限界!$F$5^2)*(B146+B145)/2000*F146*0.1</f>
        <v>0</v>
      </c>
    </row>
    <row r="147" spans="1:10" x14ac:dyDescent="1.1000000000000001">
      <c r="A147">
        <v>14300</v>
      </c>
      <c r="C147" t="e">
        <f>4*$M$3*10^3*100*0.001*SQRT(1-4*A147^2/(BASE限界!$L$13*BASE限界!$L$13*4))/(PI()*BASE限界!$L$13*2)</f>
        <v>#NUM!</v>
      </c>
      <c r="D147" s="19"/>
      <c r="J147">
        <f>1/2*BASE限界!$F$4*(BASE限界!$F$5^2)*(B147+B146)/2000*F147*0.1</f>
        <v>0</v>
      </c>
    </row>
    <row r="148" spans="1:10" x14ac:dyDescent="1.1000000000000001">
      <c r="A148">
        <v>14400</v>
      </c>
      <c r="C148" t="e">
        <f>4*$M$3*10^3*100*0.001*SQRT(1-4*A148^2/(BASE限界!$L$13*BASE限界!$L$13*4))/(PI()*BASE限界!$L$13*2)</f>
        <v>#NUM!</v>
      </c>
      <c r="D148" s="19"/>
      <c r="J148">
        <f>1/2*BASE限界!$F$4*(BASE限界!$F$5^2)*(B148+B147)/2000*F148*0.1</f>
        <v>0</v>
      </c>
    </row>
    <row r="149" spans="1:10" x14ac:dyDescent="1.1000000000000001">
      <c r="A149">
        <v>14500</v>
      </c>
      <c r="C149" t="e">
        <f>4*$M$3*10^3*100*0.001*SQRT(1-4*A149^2/(BASE限界!$L$13*BASE限界!$L$13*4))/(PI()*BASE限界!$L$13*2)</f>
        <v>#NUM!</v>
      </c>
      <c r="D149" s="19"/>
      <c r="J149">
        <f>1/2*BASE限界!$F$4*(BASE限界!$F$5^2)*(B149+B148)/2000*F149*0.1</f>
        <v>0</v>
      </c>
    </row>
    <row r="150" spans="1:10" x14ac:dyDescent="1.1000000000000001">
      <c r="A150">
        <v>14600</v>
      </c>
      <c r="C150" t="e">
        <f>4*$M$3*10^3*100*0.001*SQRT(1-4*A150^2/(BASE限界!$L$13*BASE限界!$L$13*4))/(PI()*BASE限界!$L$13*2)</f>
        <v>#NUM!</v>
      </c>
      <c r="D150" s="19"/>
      <c r="J150">
        <f>1/2*BASE限界!$F$4*(BASE限界!$F$5^2)*(B150+B149)/2000*F150*0.1</f>
        <v>0</v>
      </c>
    </row>
    <row r="151" spans="1:10" x14ac:dyDescent="1.1000000000000001">
      <c r="A151">
        <v>14700</v>
      </c>
      <c r="C151" t="e">
        <f>4*$M$3*10^3*100*0.001*SQRT(1-4*A151^2/(BASE限界!$L$13*BASE限界!$L$13*4))/(PI()*BASE限界!$L$13*2)</f>
        <v>#NUM!</v>
      </c>
      <c r="D151" s="19"/>
      <c r="J151">
        <f>1/2*BASE限界!$F$4*(BASE限界!$F$5^2)*(B151+B150)/2000*F151*0.1</f>
        <v>0</v>
      </c>
    </row>
    <row r="152" spans="1:10" x14ac:dyDescent="1.1000000000000001">
      <c r="A152">
        <v>14800</v>
      </c>
      <c r="C152" t="e">
        <f>4*$M$3*10^3*100*0.001*SQRT(1-4*A152^2/(BASE限界!$L$13*BASE限界!$L$13*4))/(PI()*BASE限界!$L$13*2)</f>
        <v>#NUM!</v>
      </c>
      <c r="D152" s="19"/>
      <c r="J152">
        <f>1/2*BASE限界!$F$4*(BASE限界!$F$5^2)*(B152+B151)/2000*F152*0.1</f>
        <v>0</v>
      </c>
    </row>
    <row r="153" spans="1:10" x14ac:dyDescent="1.1000000000000001">
      <c r="A153">
        <v>14900</v>
      </c>
      <c r="C153" t="e">
        <f>4*$M$3*10^3*100*0.001*SQRT(1-4*A153^2/(BASE限界!$L$13*BASE限界!$L$13*4))/(PI()*BASE限界!$L$13*2)</f>
        <v>#NUM!</v>
      </c>
      <c r="D153" s="19"/>
      <c r="J153">
        <f>1/2*BASE限界!$F$4*(BASE限界!$F$5^2)*(B153+B152)/2000*F153*0.1</f>
        <v>0</v>
      </c>
    </row>
    <row r="154" spans="1:10" x14ac:dyDescent="1.1000000000000001">
      <c r="A154">
        <v>15000</v>
      </c>
      <c r="C154" t="e">
        <f>4*$M$3*10^3*100*0.001*SQRT(1-4*A154^2/(BASE限界!$L$13*BASE限界!$L$13*4))/(PI()*BASE限界!$L$13*2)</f>
        <v>#NUM!</v>
      </c>
      <c r="D154" s="19"/>
      <c r="J154">
        <f>1/2*BASE限界!$F$4*(BASE限界!$F$5^2)*(B154+B153)/2000*F154*0.1</f>
        <v>0</v>
      </c>
    </row>
    <row r="155" spans="1:10" x14ac:dyDescent="1.1000000000000001">
      <c r="A155">
        <v>15100</v>
      </c>
      <c r="C155" t="e">
        <f>4*$M$3*10^3*100*0.001*SQRT(1-4*A155^2/(BASE限界!$L$13*BASE限界!$L$13*4))/(PI()*BASE限界!$L$13*2)</f>
        <v>#NUM!</v>
      </c>
      <c r="D155" s="19"/>
      <c r="J155">
        <f>1/2*BASE限界!$F$4*(BASE限界!$F$5^2)*(B155+B154)/2000*F155*0.1</f>
        <v>0</v>
      </c>
    </row>
    <row r="156" spans="1:10" x14ac:dyDescent="1.1000000000000001">
      <c r="A156">
        <v>15200</v>
      </c>
      <c r="C156" t="e">
        <f>4*$M$3*10^3*100*0.001*SQRT(1-4*A156^2/(BASE限界!$L$13*BASE限界!$L$13*4))/(PI()*BASE限界!$L$13*2)</f>
        <v>#NUM!</v>
      </c>
      <c r="D156" s="19"/>
      <c r="J156">
        <f>1/2*BASE限界!$F$4*(BASE限界!$F$5^2)*(B156+B155)/2000*F156*0.1</f>
        <v>0</v>
      </c>
    </row>
    <row r="157" spans="1:10" x14ac:dyDescent="1.1000000000000001">
      <c r="A157">
        <v>15300</v>
      </c>
      <c r="C157" t="e">
        <f>4*$M$3*10^3*100*0.001*SQRT(1-4*A157^2/(BASE限界!$L$13*BASE限界!$L$13*4))/(PI()*BASE限界!$L$13*2)</f>
        <v>#NUM!</v>
      </c>
      <c r="D157" s="19"/>
      <c r="J157">
        <f>1/2*BASE限界!$F$4*(BASE限界!$F$5^2)*(B157+B156)/2000*F157*0.1</f>
        <v>0</v>
      </c>
    </row>
    <row r="158" spans="1:10" x14ac:dyDescent="1.1000000000000001">
      <c r="A158">
        <v>15400</v>
      </c>
      <c r="C158" t="e">
        <f>4*$M$3*10^3*100*0.001*SQRT(1-4*A158^2/(BASE限界!$L$13*BASE限界!$L$13*4))/(PI()*BASE限界!$L$13*2)</f>
        <v>#NUM!</v>
      </c>
      <c r="D158" s="19"/>
      <c r="J158">
        <f>1/2*BASE限界!$F$4*(BASE限界!$F$5^2)*(B158+B157)/2000*F158*0.1</f>
        <v>0</v>
      </c>
    </row>
    <row r="159" spans="1:10" x14ac:dyDescent="1.1000000000000001">
      <c r="A159">
        <v>15500</v>
      </c>
      <c r="C159" t="e">
        <f>4*$M$3*10^3*100*0.001*SQRT(1-4*A159^2/(BASE限界!$L$13*BASE限界!$L$13*4))/(PI()*BASE限界!$L$13*2)</f>
        <v>#NUM!</v>
      </c>
      <c r="D159" s="19"/>
      <c r="J159">
        <f>1/2*BASE限界!$F$4*(BASE限界!$F$5^2)*(B159+B158)/2000*F159*0.1</f>
        <v>0</v>
      </c>
    </row>
    <row r="160" spans="1:10" x14ac:dyDescent="1.1000000000000001">
      <c r="A160">
        <v>15600</v>
      </c>
      <c r="C160" t="e">
        <f>4*$M$3*10^3*100*0.001*SQRT(1-4*A160^2/(BASE限界!$L$13*BASE限界!$L$13*4))/(PI()*BASE限界!$L$13*2)</f>
        <v>#NUM!</v>
      </c>
      <c r="D160" s="19"/>
      <c r="J160">
        <f>1/2*BASE限界!$F$4*(BASE限界!$F$5^2)*(B160+B159)/2000*F160*0.1</f>
        <v>0</v>
      </c>
    </row>
    <row r="161" spans="1:10" x14ac:dyDescent="1.1000000000000001">
      <c r="A161">
        <v>15700</v>
      </c>
      <c r="C161" t="e">
        <f>4*$M$3*10^3*100*0.001*SQRT(1-4*A161^2/(BASE限界!$L$13*BASE限界!$L$13*4))/(PI()*BASE限界!$L$13*2)</f>
        <v>#NUM!</v>
      </c>
      <c r="D161" s="19"/>
      <c r="J161">
        <f>1/2*BASE限界!$F$4*(BASE限界!$F$5^2)*(B161+B160)/2000*F161*0.1</f>
        <v>0</v>
      </c>
    </row>
    <row r="162" spans="1:10" x14ac:dyDescent="1.1000000000000001">
      <c r="A162">
        <v>15800</v>
      </c>
      <c r="C162" t="e">
        <f>4*$M$3*10^3*100*0.001*SQRT(1-4*A162^2/(BASE限界!$L$13*BASE限界!$L$13*4))/(PI()*BASE限界!$L$13*2)</f>
        <v>#NUM!</v>
      </c>
      <c r="D162" s="19"/>
      <c r="J162">
        <f>1/2*BASE限界!$F$4*(BASE限界!$F$5^2)*(B162+B161)/2000*F162*0.1</f>
        <v>0</v>
      </c>
    </row>
    <row r="163" spans="1:10" x14ac:dyDescent="1.1000000000000001">
      <c r="A163">
        <v>15900</v>
      </c>
      <c r="C163" t="e">
        <f>4*$M$3*10^3*100*0.001*SQRT(1-4*A163^2/(BASE限界!$L$13*BASE限界!$L$13*4))/(PI()*BASE限界!$L$13*2)</f>
        <v>#NUM!</v>
      </c>
      <c r="D163" s="19"/>
      <c r="J163">
        <f>1/2*BASE限界!$F$4*(BASE限界!$F$5^2)*(B163+B162)/2000*F163*0.1</f>
        <v>0</v>
      </c>
    </row>
    <row r="164" spans="1:10" x14ac:dyDescent="1.1000000000000001">
      <c r="A164">
        <v>16000</v>
      </c>
      <c r="C164" t="e">
        <f>4*$M$3*10^3*100*0.001*SQRT(1-4*A164^2/(BASE限界!$L$13*BASE限界!$L$13*4))/(PI()*BASE限界!$L$13*2)</f>
        <v>#NUM!</v>
      </c>
      <c r="D164" s="19"/>
      <c r="J164">
        <f>1/2*BASE限界!$F$4*(BASE限界!$F$5^2)*(B164+B163)/2000*F164*0.1</f>
        <v>0</v>
      </c>
    </row>
    <row r="165" spans="1:10" x14ac:dyDescent="1.1000000000000001">
      <c r="A165">
        <v>16100</v>
      </c>
      <c r="C165" t="e">
        <f>4*$M$3*10^3*100*0.001*SQRT(1-4*A165^2/(BASE限界!$L$13*BASE限界!$L$13*4))/(PI()*BASE限界!$L$13*2)</f>
        <v>#NUM!</v>
      </c>
      <c r="D165" s="19"/>
      <c r="J165">
        <f>1/2*BASE限界!$F$4*(BASE限界!$F$5^2)*(B165+B164)/2000*F165*0.1</f>
        <v>0</v>
      </c>
    </row>
    <row r="166" spans="1:10" x14ac:dyDescent="1.1000000000000001">
      <c r="A166">
        <v>16200</v>
      </c>
      <c r="C166" t="e">
        <f>4*$M$3*10^3*100*0.001*SQRT(1-4*A166^2/(BASE限界!$L$13*BASE限界!$L$13*4))/(PI()*BASE限界!$L$13*2)</f>
        <v>#NUM!</v>
      </c>
      <c r="D166" s="19"/>
      <c r="J166">
        <f>1/2*BASE限界!$F$4*(BASE限界!$F$5^2)*(B166+B165)/2000*F166*0.1</f>
        <v>0</v>
      </c>
    </row>
    <row r="167" spans="1:10" x14ac:dyDescent="1.1000000000000001">
      <c r="A167">
        <v>16300</v>
      </c>
      <c r="C167" t="e">
        <f>4*$M$3*10^3*100*0.001*SQRT(1-4*A167^2/(BASE限界!$L$13*BASE限界!$L$13*4))/(PI()*BASE限界!$L$13*2)</f>
        <v>#NUM!</v>
      </c>
      <c r="D167" s="19"/>
      <c r="J167">
        <f>1/2*BASE限界!$F$4*(BASE限界!$F$5^2)*(B167+B166)/2000*F167*0.1</f>
        <v>0</v>
      </c>
    </row>
    <row r="168" spans="1:10" x14ac:dyDescent="1.1000000000000001">
      <c r="A168">
        <v>16400</v>
      </c>
      <c r="C168" t="e">
        <f>4*$M$3*10^3*100*0.001*SQRT(1-4*A168^2/(BASE限界!$L$13*BASE限界!$L$13*4))/(PI()*BASE限界!$L$13*2)</f>
        <v>#NUM!</v>
      </c>
      <c r="D168" s="19"/>
      <c r="J168">
        <f>1/2*BASE限界!$F$4*(BASE限界!$F$5^2)*(B168+B167)/2000*F168*0.1</f>
        <v>0</v>
      </c>
    </row>
    <row r="169" spans="1:10" x14ac:dyDescent="1.1000000000000001">
      <c r="A169">
        <v>16500</v>
      </c>
      <c r="C169" t="e">
        <f>4*$M$3*10^3*100*0.001*SQRT(1-4*A169^2/(BASE限界!$L$13*BASE限界!$L$13*4))/(PI()*BASE限界!$L$13*2)</f>
        <v>#NUM!</v>
      </c>
      <c r="D169" s="19"/>
      <c r="J169">
        <f>1/2*BASE限界!$F$4*(BASE限界!$F$5^2)*(B169+B168)/2000*F169*0.1</f>
        <v>0</v>
      </c>
    </row>
    <row r="170" spans="1:10" x14ac:dyDescent="1.1000000000000001">
      <c r="A170">
        <v>16600</v>
      </c>
      <c r="C170" t="e">
        <f>4*$M$3*10^3*100*0.001*SQRT(1-4*A170^2/(BASE限界!$L$13*BASE限界!$L$13*4))/(PI()*BASE限界!$L$13*2)</f>
        <v>#NUM!</v>
      </c>
      <c r="D170" s="19"/>
      <c r="J170">
        <f>1/2*BASE限界!$F$4*(BASE限界!$F$5^2)*(B170+B169)/2000*F170*0.1</f>
        <v>0</v>
      </c>
    </row>
    <row r="171" spans="1:10" x14ac:dyDescent="1.1000000000000001">
      <c r="A171">
        <v>16700</v>
      </c>
      <c r="C171" t="e">
        <f>4*$M$3*10^3*100*0.001*SQRT(1-4*A171^2/(BASE限界!$L$13*BASE限界!$L$13*4))/(PI()*BASE限界!$L$13*2)</f>
        <v>#NUM!</v>
      </c>
      <c r="D171" s="19"/>
      <c r="J171">
        <f>1/2*BASE限界!$F$4*(BASE限界!$F$5^2)*(B171+B170)/2000*F171*0.1</f>
        <v>0</v>
      </c>
    </row>
    <row r="172" spans="1:10" x14ac:dyDescent="1.1000000000000001">
      <c r="A172">
        <v>16800</v>
      </c>
      <c r="C172" t="e">
        <f>4*$M$3*10^3*100*0.001*SQRT(1-4*A172^2/(BASE限界!$L$13*BASE限界!$L$13*4))/(PI()*BASE限界!$L$13*2)</f>
        <v>#NUM!</v>
      </c>
      <c r="D172" s="19"/>
      <c r="J172">
        <f>1/2*BASE限界!$F$4*(BASE限界!$F$5^2)*(B172+B171)/2000*F172*0.1</f>
        <v>0</v>
      </c>
    </row>
    <row r="173" spans="1:10" x14ac:dyDescent="1.1000000000000001">
      <c r="A173">
        <v>16900</v>
      </c>
      <c r="C173" t="e">
        <f>4*$M$3*10^3*100*0.001*SQRT(1-4*A173^2/(BASE限界!$L$13*BASE限界!$L$13*4))/(PI()*BASE限界!$L$13*2)</f>
        <v>#NUM!</v>
      </c>
      <c r="D173" s="19"/>
      <c r="J173">
        <f>1/2*BASE限界!$F$4*(BASE限界!$F$5^2)*(B173+B172)/2000*F173*0.1</f>
        <v>0</v>
      </c>
    </row>
    <row r="174" spans="1:10" x14ac:dyDescent="1.1000000000000001">
      <c r="A174">
        <v>17000</v>
      </c>
      <c r="C174" t="e">
        <f>4*$M$3*10^3*100*0.001*SQRT(1-4*A174^2/(BASE限界!$L$13*BASE限界!$L$13*4))/(PI()*BASE限界!$L$13*2)</f>
        <v>#NUM!</v>
      </c>
      <c r="D174" s="19"/>
      <c r="J174">
        <f>1/2*BASE限界!$F$4*(BASE限界!$F$5^2)*(B174+B173)/2000*F174*0.1</f>
        <v>0</v>
      </c>
    </row>
    <row r="175" spans="1:10" x14ac:dyDescent="1.1000000000000001">
      <c r="A175">
        <v>17100</v>
      </c>
      <c r="C175" t="e">
        <f>4*$M$3*10^3*100*0.001*SQRT(1-4*A175^2/(BASE限界!$L$13*BASE限界!$L$13*4))/(PI()*BASE限界!$L$13*2)</f>
        <v>#NUM!</v>
      </c>
      <c r="D175" s="19"/>
      <c r="J175">
        <f>1/2*BASE限界!$F$4*(BASE限界!$F$5^2)*(B175+B174)/2000*F175*0.1</f>
        <v>0</v>
      </c>
    </row>
    <row r="176" spans="1:10" x14ac:dyDescent="1.1000000000000001">
      <c r="A176">
        <v>17200</v>
      </c>
      <c r="C176" t="e">
        <f>4*$M$3*10^3*100*0.001*SQRT(1-4*A176^2/(BASE限界!$L$13*BASE限界!$L$13*4))/(PI()*BASE限界!$L$13*2)</f>
        <v>#NUM!</v>
      </c>
      <c r="D176" s="19"/>
      <c r="J176">
        <f>1/2*BASE限界!$F$4*(BASE限界!$F$5^2)*(B176+B175)/2000*F176*0.1</f>
        <v>0</v>
      </c>
    </row>
    <row r="177" spans="1:10" x14ac:dyDescent="1.1000000000000001">
      <c r="A177">
        <v>17300</v>
      </c>
      <c r="C177" t="e">
        <f>4*$M$3*10^3*100*0.001*SQRT(1-4*A177^2/(BASE限界!$L$13*BASE限界!$L$13*4))/(PI()*BASE限界!$L$13*2)</f>
        <v>#NUM!</v>
      </c>
      <c r="D177" s="19"/>
      <c r="J177">
        <f>1/2*BASE限界!$F$4*(BASE限界!$F$5^2)*(B177+B176)/2000*F177*0.1</f>
        <v>0</v>
      </c>
    </row>
    <row r="178" spans="1:10" x14ac:dyDescent="1.1000000000000001">
      <c r="A178">
        <v>17400</v>
      </c>
      <c r="C178" t="e">
        <f>4*$M$3*10^3*100*0.001*SQRT(1-4*A178^2/(BASE限界!$L$13*BASE限界!$L$13*4))/(PI()*BASE限界!$L$13*2)</f>
        <v>#NUM!</v>
      </c>
      <c r="D178" s="19"/>
      <c r="J178">
        <f>1/2*BASE限界!$F$4*(BASE限界!$F$5^2)*(B178+B177)/2000*F178*0.1</f>
        <v>0</v>
      </c>
    </row>
    <row r="179" spans="1:10" x14ac:dyDescent="1.1000000000000001">
      <c r="A179">
        <v>17500</v>
      </c>
      <c r="C179" t="e">
        <f>4*$M$3*10^3*100*0.001*SQRT(1-4*A179^2/(BASE限界!$L$13*BASE限界!$L$13*4))/(PI()*BASE限界!$L$13*2)</f>
        <v>#NUM!</v>
      </c>
      <c r="D179" s="19"/>
      <c r="J179">
        <f>1/2*BASE限界!$F$4*(BASE限界!$F$5^2)*(B179+B178)/2000*F179*0.1</f>
        <v>0</v>
      </c>
    </row>
    <row r="180" spans="1:10" x14ac:dyDescent="1.1000000000000001">
      <c r="A180">
        <v>17600</v>
      </c>
      <c r="C180" t="e">
        <f>4*$M$3*10^3*100*0.001*SQRT(1-4*A180^2/(BASE限界!$L$13*BASE限界!$L$13*4))/(PI()*BASE限界!$L$13*2)</f>
        <v>#NUM!</v>
      </c>
      <c r="D180" s="19"/>
      <c r="J180">
        <f>1/2*BASE限界!$F$4*(BASE限界!$F$5^2)*(B180+B179)/2000*F180*0.1</f>
        <v>0</v>
      </c>
    </row>
    <row r="181" spans="1:10" x14ac:dyDescent="1.1000000000000001">
      <c r="A181">
        <v>17700</v>
      </c>
      <c r="C181" t="e">
        <f>4*$M$3*10^3*100*0.001*SQRT(1-4*A181^2/(BASE限界!$L$13*BASE限界!$L$13*4))/(PI()*BASE限界!$L$13*2)</f>
        <v>#NUM!</v>
      </c>
      <c r="D181" s="19"/>
      <c r="J181">
        <f>1/2*BASE限界!$F$4*(BASE限界!$F$5^2)*(B181+B180)/2000*F181*0.1</f>
        <v>0</v>
      </c>
    </row>
  </sheetData>
  <mergeCells count="2">
    <mergeCell ref="L2:M2"/>
    <mergeCell ref="B1:E2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zoomScale="85" zoomScaleNormal="85" workbookViewId="0">
      <selection activeCell="J13" sqref="J13"/>
    </sheetView>
  </sheetViews>
  <sheetFormatPr defaultRowHeight="18" x14ac:dyDescent="1.1000000000000001"/>
  <sheetData>
    <row r="1" spans="1:13" x14ac:dyDescent="1.1000000000000001">
      <c r="A1" s="2" t="s">
        <v>74</v>
      </c>
      <c r="B1" s="2" t="s">
        <v>59</v>
      </c>
      <c r="C1" s="2" t="s">
        <v>60</v>
      </c>
      <c r="D1" s="2" t="s">
        <v>75</v>
      </c>
      <c r="E1" s="2" t="s">
        <v>61</v>
      </c>
      <c r="F1" s="2" t="s">
        <v>76</v>
      </c>
      <c r="G1" s="2" t="s">
        <v>77</v>
      </c>
      <c r="H1" s="2" t="s">
        <v>78</v>
      </c>
      <c r="I1" s="2" t="s">
        <v>79</v>
      </c>
      <c r="J1" s="2"/>
      <c r="K1" s="2"/>
      <c r="L1" s="2" t="s">
        <v>62</v>
      </c>
      <c r="M1" s="2"/>
    </row>
    <row r="2" spans="1:13" x14ac:dyDescent="1.1000000000000001">
      <c r="A2" s="2">
        <v>3.5</v>
      </c>
      <c r="B2" s="2">
        <v>0.95226155418733083</v>
      </c>
      <c r="C2" s="2">
        <v>8.4725134795884966E-3</v>
      </c>
      <c r="D2" s="2">
        <v>3.257060792636695E-3</v>
      </c>
      <c r="E2" s="2">
        <v>-0.1125258784147266</v>
      </c>
      <c r="F2" s="2">
        <v>0.5386432422739571</v>
      </c>
      <c r="G2" s="2">
        <v>1</v>
      </c>
      <c r="H2" s="2">
        <v>-1.378823108374662</v>
      </c>
      <c r="I2" s="2">
        <v>0</v>
      </c>
      <c r="J2" s="2">
        <v>0</v>
      </c>
      <c r="K2" s="2">
        <v>0</v>
      </c>
      <c r="L2" s="2">
        <v>0.36144195947157548</v>
      </c>
      <c r="M2" s="2"/>
    </row>
    <row r="3" spans="1:13" x14ac:dyDescent="1.1000000000000001">
      <c r="A3" s="2">
        <v>3.5</v>
      </c>
      <c r="B3" s="2">
        <v>0.95226155418733083</v>
      </c>
      <c r="C3" s="2">
        <v>8.4725134795884966E-3</v>
      </c>
      <c r="D3" s="2">
        <v>3.257060792636695E-3</v>
      </c>
      <c r="E3" s="2">
        <v>-0.1125258784147266</v>
      </c>
      <c r="F3" s="2">
        <v>0.5386432422739571</v>
      </c>
      <c r="G3" s="2">
        <v>1</v>
      </c>
      <c r="H3" s="2">
        <v>-1.378823108374662</v>
      </c>
      <c r="I3" s="2">
        <v>0</v>
      </c>
      <c r="J3" s="2">
        <v>0</v>
      </c>
      <c r="K3" s="2">
        <v>0</v>
      </c>
      <c r="L3" s="2">
        <v>0.36144195947157548</v>
      </c>
      <c r="M3" s="2"/>
    </row>
    <row r="4" spans="1:13" x14ac:dyDescent="1.1000000000000001">
      <c r="A4" s="2">
        <v>3.5</v>
      </c>
      <c r="B4" s="2">
        <v>0.95226155418733083</v>
      </c>
      <c r="C4" s="2">
        <v>8.4725134795884966E-3</v>
      </c>
      <c r="D4" s="2">
        <v>3.257060792636695E-3</v>
      </c>
      <c r="E4" s="2">
        <v>-0.1125258784147266</v>
      </c>
      <c r="F4" s="2">
        <v>0.5386432422739571</v>
      </c>
      <c r="G4" s="2">
        <v>1</v>
      </c>
      <c r="H4" s="2">
        <v>-1.378823108374662</v>
      </c>
      <c r="I4" s="2">
        <v>0</v>
      </c>
      <c r="J4" s="2">
        <v>0</v>
      </c>
      <c r="K4" s="2">
        <v>0</v>
      </c>
      <c r="L4" s="2">
        <v>0.36144195947157548</v>
      </c>
      <c r="M4" s="2"/>
    </row>
    <row r="5" spans="1:13" x14ac:dyDescent="1.1000000000000001">
      <c r="A5" s="2">
        <v>3.5</v>
      </c>
      <c r="B5" s="2">
        <v>0.95226155418733083</v>
      </c>
      <c r="C5" s="2">
        <v>8.4725134795884966E-3</v>
      </c>
      <c r="D5" s="2">
        <v>3.257060792636695E-3</v>
      </c>
      <c r="E5" s="2">
        <v>-0.1125258784147266</v>
      </c>
      <c r="F5" s="2">
        <v>0.5386432422739571</v>
      </c>
      <c r="G5" s="2">
        <v>1</v>
      </c>
      <c r="H5" s="2">
        <v>-1.378823108374662</v>
      </c>
      <c r="I5" s="2">
        <v>0</v>
      </c>
      <c r="J5" s="2">
        <v>0</v>
      </c>
      <c r="K5" s="2">
        <v>0</v>
      </c>
      <c r="L5" s="2">
        <v>0.36144195947157548</v>
      </c>
      <c r="M5" s="2"/>
    </row>
    <row r="6" spans="1:13" x14ac:dyDescent="1.1000000000000001">
      <c r="A6" s="2">
        <v>3.5</v>
      </c>
      <c r="B6" s="2">
        <v>0.95226155418733083</v>
      </c>
      <c r="C6" s="2">
        <v>8.4725134795884966E-3</v>
      </c>
      <c r="D6" s="2">
        <v>3.257060792636695E-3</v>
      </c>
      <c r="E6" s="2">
        <v>-0.1125258784147266</v>
      </c>
      <c r="F6" s="2">
        <v>0.5386432422739571</v>
      </c>
      <c r="G6" s="2">
        <v>1</v>
      </c>
      <c r="H6" s="2">
        <v>-1.378823108374662</v>
      </c>
      <c r="I6" s="2">
        <v>0</v>
      </c>
      <c r="J6" s="2">
        <v>0</v>
      </c>
      <c r="K6" s="2">
        <v>0</v>
      </c>
      <c r="L6" s="2">
        <v>0.36144195947157548</v>
      </c>
      <c r="M6" s="2"/>
    </row>
    <row r="7" spans="1:13" x14ac:dyDescent="1.1000000000000001">
      <c r="A7" s="2">
        <v>3</v>
      </c>
      <c r="B7" s="2">
        <v>0.79039451358205592</v>
      </c>
      <c r="C7" s="2">
        <v>7.6104364602119067E-3</v>
      </c>
      <c r="D7" s="2">
        <v>2.459339176623086E-3</v>
      </c>
      <c r="E7" s="2">
        <v>-9.7764837860685294E-2</v>
      </c>
      <c r="F7" s="2">
        <v>0.55640424194093796</v>
      </c>
      <c r="G7" s="2">
        <v>1</v>
      </c>
      <c r="H7" s="2">
        <v>-1.1179362839551401</v>
      </c>
      <c r="I7" s="2">
        <v>0</v>
      </c>
      <c r="J7" s="2">
        <v>0</v>
      </c>
      <c r="K7" s="2">
        <v>0</v>
      </c>
      <c r="L7" s="2">
        <v>0.36918241893034259</v>
      </c>
      <c r="M7" s="2"/>
    </row>
    <row r="8" spans="1:13" x14ac:dyDescent="1.1000000000000001">
      <c r="A8" s="2">
        <v>3</v>
      </c>
      <c r="B8" s="2">
        <v>0.79039451358205592</v>
      </c>
      <c r="C8" s="2">
        <v>7.6104364602119067E-3</v>
      </c>
      <c r="D8" s="2">
        <v>2.459339176623086E-3</v>
      </c>
      <c r="E8" s="2">
        <v>-9.7764837860685294E-2</v>
      </c>
      <c r="F8" s="2">
        <v>0.55640424194093796</v>
      </c>
      <c r="G8" s="2">
        <v>1</v>
      </c>
      <c r="H8" s="2">
        <v>-1.1179362839551401</v>
      </c>
      <c r="I8" s="2">
        <v>0</v>
      </c>
      <c r="J8" s="2">
        <v>0</v>
      </c>
      <c r="K8" s="2">
        <v>0</v>
      </c>
      <c r="L8" s="2">
        <v>0.36918241893034259</v>
      </c>
      <c r="M8" s="2"/>
    </row>
    <row r="9" spans="1:13" x14ac:dyDescent="1.1000000000000001">
      <c r="A9" s="2">
        <v>1.8</v>
      </c>
      <c r="B9" s="2">
        <v>0.64159747272061241</v>
      </c>
      <c r="C9" s="2">
        <v>7.0989878107324414E-3</v>
      </c>
      <c r="D9" s="2">
        <v>2.3886080800680429E-3</v>
      </c>
      <c r="E9" s="2">
        <v>-9.7069621546848117E-2</v>
      </c>
      <c r="F9" s="2">
        <v>0.69851145579555762</v>
      </c>
      <c r="G9" s="2">
        <v>1</v>
      </c>
      <c r="H9" s="2">
        <v>-0.88286962154684812</v>
      </c>
      <c r="I9" s="2">
        <v>0</v>
      </c>
      <c r="J9" s="2">
        <v>0</v>
      </c>
      <c r="K9" s="2">
        <v>0</v>
      </c>
      <c r="L9" s="2">
        <v>0.39837721616013599</v>
      </c>
      <c r="M9" s="2"/>
    </row>
    <row r="10" spans="1:13" x14ac:dyDescent="1.1000000000000001">
      <c r="A10" s="2">
        <v>1.8</v>
      </c>
      <c r="B10" s="2">
        <v>0.64159747272061241</v>
      </c>
      <c r="C10" s="2">
        <v>7.0989878107324414E-3</v>
      </c>
      <c r="D10" s="2">
        <v>2.3886080800680429E-3</v>
      </c>
      <c r="E10" s="2">
        <v>-9.7069621546848117E-2</v>
      </c>
      <c r="F10" s="2">
        <v>0.69851145579555762</v>
      </c>
      <c r="G10" s="2">
        <v>1</v>
      </c>
      <c r="H10" s="2">
        <v>-0.88286962154684812</v>
      </c>
      <c r="I10" s="2">
        <v>0</v>
      </c>
      <c r="J10" s="2">
        <v>0</v>
      </c>
      <c r="K10" s="2">
        <v>0</v>
      </c>
      <c r="L10" s="2">
        <v>0.39837721616013599</v>
      </c>
      <c r="M10" s="2"/>
    </row>
    <row r="11" spans="1:13" x14ac:dyDescent="1.1000000000000001">
      <c r="A11" s="2">
        <v>1</v>
      </c>
      <c r="B11" s="2">
        <v>0.34819297268218707</v>
      </c>
      <c r="C11" s="2">
        <v>8.173189124108542E-3</v>
      </c>
      <c r="D11" s="2">
        <v>2.8254864179441028E-3</v>
      </c>
      <c r="E11" s="2">
        <v>-4.7581621649315523E-2</v>
      </c>
      <c r="F11" s="2">
        <v>0.69024783429994307</v>
      </c>
      <c r="G11" s="2">
        <v>0.90190594126567825</v>
      </c>
      <c r="H11" s="2">
        <v>-0.67054594587671124</v>
      </c>
      <c r="I11" s="2">
        <v>0</v>
      </c>
      <c r="J11" s="2">
        <v>0</v>
      </c>
      <c r="K11" s="2">
        <v>0</v>
      </c>
      <c r="L11" s="2">
        <v>0.38437135154520857</v>
      </c>
      <c r="M11" s="2"/>
    </row>
    <row r="12" spans="1:13" x14ac:dyDescent="1.100000000000000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1.100000000000000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zoomScale="85" zoomScaleNormal="85" workbookViewId="0">
      <selection activeCell="I12" sqref="I12"/>
    </sheetView>
  </sheetViews>
  <sheetFormatPr defaultRowHeight="18" x14ac:dyDescent="1.1000000000000001"/>
  <sheetData>
    <row r="1" spans="1:13" x14ac:dyDescent="1.1000000000000001">
      <c r="A1" s="2" t="s">
        <v>74</v>
      </c>
      <c r="B1" s="2" t="s">
        <v>59</v>
      </c>
      <c r="C1" s="2" t="s">
        <v>60</v>
      </c>
      <c r="D1" s="2" t="s">
        <v>75</v>
      </c>
      <c r="E1" s="2" t="s">
        <v>61</v>
      </c>
      <c r="F1" s="2" t="s">
        <v>76</v>
      </c>
      <c r="G1" s="2" t="s">
        <v>77</v>
      </c>
      <c r="H1" s="2" t="s">
        <v>78</v>
      </c>
      <c r="I1" s="2" t="s">
        <v>79</v>
      </c>
      <c r="J1" s="2"/>
      <c r="K1" s="2"/>
      <c r="L1" s="2" t="s">
        <v>62</v>
      </c>
      <c r="M1" s="2"/>
    </row>
    <row r="2" spans="1:13" x14ac:dyDescent="1.1000000000000001">
      <c r="A2" s="2">
        <v>3.2</v>
      </c>
      <c r="B2" s="2">
        <v>1.395502032678581</v>
      </c>
      <c r="C2" s="2">
        <v>1.4239999999999999E-2</v>
      </c>
      <c r="D2" s="2">
        <v>8.0206802178572085E-3</v>
      </c>
      <c r="E2" s="2">
        <v>-0.18610680217857209</v>
      </c>
      <c r="F2" s="2">
        <v>0.43122916164296637</v>
      </c>
      <c r="G2" s="2">
        <v>0.72443666796436668</v>
      </c>
      <c r="H2" s="2">
        <v>-1.8187476152500051</v>
      </c>
      <c r="I2" s="2">
        <v>0</v>
      </c>
      <c r="J2" s="2">
        <v>0</v>
      </c>
      <c r="K2" s="2">
        <v>0</v>
      </c>
      <c r="L2" s="2">
        <v>0.37490000000000001</v>
      </c>
      <c r="M2" s="2"/>
    </row>
    <row r="3" spans="1:13" x14ac:dyDescent="1.1000000000000001">
      <c r="A3" s="2">
        <v>3.2</v>
      </c>
      <c r="B3" s="2">
        <v>1.395502032678581</v>
      </c>
      <c r="C3" s="2">
        <v>1.4239999999999999E-2</v>
      </c>
      <c r="D3" s="2">
        <v>8.0206802178572085E-3</v>
      </c>
      <c r="E3" s="2">
        <v>-0.18610680217857209</v>
      </c>
      <c r="F3" s="2">
        <v>0.43122916164296637</v>
      </c>
      <c r="G3" s="2">
        <v>0.72443666796436668</v>
      </c>
      <c r="H3" s="2">
        <v>-1.8187476152500051</v>
      </c>
      <c r="I3" s="2">
        <v>0</v>
      </c>
      <c r="J3" s="2">
        <v>0</v>
      </c>
      <c r="K3" s="2">
        <v>0</v>
      </c>
      <c r="L3" s="2">
        <v>0.37490000000000001</v>
      </c>
      <c r="M3" s="2"/>
    </row>
    <row r="4" spans="1:13" x14ac:dyDescent="1.1000000000000001">
      <c r="A4" s="2">
        <v>3.2</v>
      </c>
      <c r="B4" s="2">
        <v>1.395502032678581</v>
      </c>
      <c r="C4" s="2">
        <v>1.4239999999999999E-2</v>
      </c>
      <c r="D4" s="2">
        <v>8.0206802178572085E-3</v>
      </c>
      <c r="E4" s="2">
        <v>-0.18610680217857209</v>
      </c>
      <c r="F4" s="2">
        <v>0.43122916164296637</v>
      </c>
      <c r="G4" s="2">
        <v>0.72443666796436668</v>
      </c>
      <c r="H4" s="2">
        <v>-1.8187476152500051</v>
      </c>
      <c r="I4" s="2">
        <v>0</v>
      </c>
      <c r="J4" s="2">
        <v>0</v>
      </c>
      <c r="K4" s="2">
        <v>0</v>
      </c>
      <c r="L4" s="2">
        <v>0.37490000000000001</v>
      </c>
      <c r="M4" s="2"/>
    </row>
    <row r="5" spans="1:13" x14ac:dyDescent="1.1000000000000001">
      <c r="A5" s="2">
        <v>3.2</v>
      </c>
      <c r="B5" s="2">
        <v>1.395502032678581</v>
      </c>
      <c r="C5" s="2">
        <v>1.4239999999999999E-2</v>
      </c>
      <c r="D5" s="2">
        <v>8.0206802178572085E-3</v>
      </c>
      <c r="E5" s="2">
        <v>-0.18610680217857209</v>
      </c>
      <c r="F5" s="2">
        <v>0.43122916164296637</v>
      </c>
      <c r="G5" s="2">
        <v>0.72443666796436668</v>
      </c>
      <c r="H5" s="2">
        <v>-1.8187476152500051</v>
      </c>
      <c r="I5" s="2">
        <v>0</v>
      </c>
      <c r="J5" s="2">
        <v>0</v>
      </c>
      <c r="K5" s="2">
        <v>0</v>
      </c>
      <c r="L5" s="2">
        <v>0.37490000000000001</v>
      </c>
      <c r="M5" s="2"/>
    </row>
    <row r="6" spans="1:13" x14ac:dyDescent="1.1000000000000001">
      <c r="A6" s="2">
        <v>3.2</v>
      </c>
      <c r="B6" s="2">
        <v>1.3382252504941849</v>
      </c>
      <c r="C6" s="2">
        <v>1.3021482970931411E-2</v>
      </c>
      <c r="D6" s="2">
        <v>7.1873747529077802E-3</v>
      </c>
      <c r="E6" s="2">
        <v>-0.17500841683139479</v>
      </c>
      <c r="F6" s="2">
        <v>0.55168998023262239</v>
      </c>
      <c r="G6" s="2">
        <v>0.7890132267733313</v>
      </c>
      <c r="H6" s="2">
        <v>-1.7367683366278961</v>
      </c>
      <c r="I6" s="2">
        <v>1.0200000000000001E-2</v>
      </c>
      <c r="J6" s="2">
        <v>0</v>
      </c>
      <c r="K6" s="2">
        <v>0</v>
      </c>
      <c r="L6" s="2">
        <v>0.37430000000000002</v>
      </c>
      <c r="M6" s="2"/>
    </row>
    <row r="7" spans="1:13" x14ac:dyDescent="1.1000000000000001">
      <c r="A7" s="2">
        <v>2.7</v>
      </c>
      <c r="B7" s="2">
        <v>1.2186519209908651</v>
      </c>
      <c r="C7" s="2">
        <v>1.160115259451913E-2</v>
      </c>
      <c r="D7" s="2">
        <v>5.875960495432605E-3</v>
      </c>
      <c r="E7" s="2">
        <v>-0.16889999999999999</v>
      </c>
      <c r="F7" s="2">
        <v>0.56953896975175178</v>
      </c>
      <c r="G7" s="2">
        <v>0.79648002320688238</v>
      </c>
      <c r="H7" s="2">
        <v>-1.5174801316818911</v>
      </c>
      <c r="I7" s="2">
        <v>1.21E-2</v>
      </c>
      <c r="J7" s="2">
        <v>0</v>
      </c>
      <c r="K7" s="2">
        <v>0</v>
      </c>
      <c r="L7" s="2">
        <v>0.38419999999999999</v>
      </c>
      <c r="M7" s="2"/>
    </row>
    <row r="8" spans="1:13" x14ac:dyDescent="1.1000000000000001">
      <c r="A8" s="2">
        <v>2.7</v>
      </c>
      <c r="B8" s="2">
        <v>1.2186519209908651</v>
      </c>
      <c r="C8" s="2">
        <v>1.160115259451913E-2</v>
      </c>
      <c r="D8" s="2">
        <v>5.875960495432605E-3</v>
      </c>
      <c r="E8" s="2">
        <v>-0.16889999999999999</v>
      </c>
      <c r="F8" s="2">
        <v>0.56953896975175178</v>
      </c>
      <c r="G8" s="2">
        <v>0.79648002320688238</v>
      </c>
      <c r="H8" s="2">
        <v>-1.5174801316818911</v>
      </c>
      <c r="I8" s="2">
        <v>1.21E-2</v>
      </c>
      <c r="J8" s="2">
        <v>0</v>
      </c>
      <c r="K8" s="2">
        <v>0</v>
      </c>
      <c r="L8" s="2">
        <v>0.38419999999999999</v>
      </c>
      <c r="M8" s="2"/>
    </row>
    <row r="9" spans="1:13" x14ac:dyDescent="1.1000000000000001">
      <c r="A9" s="2">
        <v>1</v>
      </c>
      <c r="B9" s="2">
        <v>1.041834462935151</v>
      </c>
      <c r="C9" s="2">
        <v>1.0462731189787151E-2</v>
      </c>
      <c r="D9" s="2">
        <v>5.0023664566467502E-3</v>
      </c>
      <c r="E9" s="2">
        <v>-0.1741090752408514</v>
      </c>
      <c r="F9" s="2">
        <v>0.7</v>
      </c>
      <c r="G9" s="2">
        <v>0.75988006894025395</v>
      </c>
      <c r="H9" s="2">
        <v>-1.180474468680172</v>
      </c>
      <c r="I9" s="2">
        <v>1.284727168272343E-2</v>
      </c>
      <c r="J9" s="2">
        <v>0</v>
      </c>
      <c r="K9" s="2">
        <v>0</v>
      </c>
      <c r="L9" s="2">
        <v>0.41487090752408512</v>
      </c>
      <c r="M9" s="2"/>
    </row>
    <row r="10" spans="1:13" x14ac:dyDescent="1.1000000000000001">
      <c r="A10" s="2">
        <v>1</v>
      </c>
      <c r="B10" s="2">
        <v>1.041834462935151</v>
      </c>
      <c r="C10" s="2">
        <v>1.0462731189787151E-2</v>
      </c>
      <c r="D10" s="2">
        <v>5.0023664566467502E-3</v>
      </c>
      <c r="E10" s="2">
        <v>-0.1741090752408514</v>
      </c>
      <c r="F10" s="2">
        <v>0.7</v>
      </c>
      <c r="G10" s="2">
        <v>0.75988006894025395</v>
      </c>
      <c r="H10" s="2">
        <v>-1.180474468680172</v>
      </c>
      <c r="I10" s="2">
        <v>1.284727168272343E-2</v>
      </c>
      <c r="J10" s="2">
        <v>0</v>
      </c>
      <c r="K10" s="2">
        <v>0</v>
      </c>
      <c r="L10" s="2">
        <v>0.41487090752408512</v>
      </c>
      <c r="M10" s="2"/>
    </row>
    <row r="11" spans="1:13" x14ac:dyDescent="1.1000000000000001">
      <c r="A11" s="2">
        <v>0.5</v>
      </c>
      <c r="B11" s="2">
        <v>0.79324131084709437</v>
      </c>
      <c r="C11" s="2">
        <v>1.0937546536548369E-2</v>
      </c>
      <c r="D11" s="2">
        <v>4.9857944568131706E-3</v>
      </c>
      <c r="E11" s="2">
        <v>-0.12799762375413751</v>
      </c>
      <c r="F11" s="2">
        <v>0.7</v>
      </c>
      <c r="G11" s="2">
        <v>0.78453040400340213</v>
      </c>
      <c r="H11" s="2">
        <v>-0.9730914969932879</v>
      </c>
      <c r="I11" s="2">
        <v>9.2478099003310017E-3</v>
      </c>
      <c r="J11" s="2">
        <v>0</v>
      </c>
      <c r="K11" s="2">
        <v>0</v>
      </c>
      <c r="L11" s="2">
        <v>0.40955757227574469</v>
      </c>
      <c r="M11" s="2"/>
    </row>
    <row r="12" spans="1:13" x14ac:dyDescent="1.100000000000000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1.100000000000000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比較モード</vt:lpstr>
      <vt:lpstr>BASE</vt:lpstr>
      <vt:lpstr>BASE限界</vt:lpstr>
      <vt:lpstr>定常時揚力分布</vt:lpstr>
      <vt:lpstr>低速時揚力分布</vt:lpstr>
      <vt:lpstr>csv1</vt:lpstr>
      <vt:lpstr>csv2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 Takumi</dc:creator>
  <cp:lastModifiedBy>拓海 佐治</cp:lastModifiedBy>
  <dcterms:created xsi:type="dcterms:W3CDTF">2025-08-19T10:55:04Z</dcterms:created>
  <dcterms:modified xsi:type="dcterms:W3CDTF">2026-03-01T16:06:08Z</dcterms:modified>
</cp:coreProperties>
</file>