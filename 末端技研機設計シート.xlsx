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ero\"/>
    </mc:Choice>
  </mc:AlternateContent>
  <xr:revisionPtr revIDLastSave="0" documentId="13_ncr:1_{B1478002-59CF-45B3-B72F-8916A9FFD94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比較モード" sheetId="1" r:id="rId1"/>
    <sheet name="BASE" sheetId="2" r:id="rId2"/>
    <sheet name="BASE限界" sheetId="3" r:id="rId3"/>
    <sheet name="定常時揚力分布" sheetId="4" r:id="rId4"/>
    <sheet name="低速時揚力分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5" l="1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C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C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C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M5" i="5" s="1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C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C6" i="5"/>
  <c r="J5" i="5"/>
  <c r="I5" i="5"/>
  <c r="J4" i="5"/>
  <c r="I4" i="5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M5" i="4" s="1"/>
  <c r="J120" i="4"/>
  <c r="J119" i="4"/>
  <c r="J118" i="4"/>
  <c r="J117" i="4"/>
  <c r="J116" i="4"/>
  <c r="J115" i="4"/>
  <c r="J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M4" i="4" s="1"/>
  <c r="M6" i="4" s="1"/>
  <c r="F42" i="3"/>
  <c r="F41" i="3"/>
  <c r="F40" i="3"/>
  <c r="F39" i="3"/>
  <c r="F38" i="3"/>
  <c r="F37" i="3" s="1"/>
  <c r="E38" i="3"/>
  <c r="O29" i="3"/>
  <c r="O28" i="3"/>
  <c r="O27" i="3"/>
  <c r="O26" i="3"/>
  <c r="O25" i="3"/>
  <c r="O24" i="3"/>
  <c r="S19" i="3"/>
  <c r="Q19" i="3"/>
  <c r="K19" i="3"/>
  <c r="I19" i="3"/>
  <c r="S18" i="3"/>
  <c r="Q18" i="3"/>
  <c r="K18" i="3"/>
  <c r="I18" i="3"/>
  <c r="S17" i="3"/>
  <c r="Q17" i="3"/>
  <c r="K17" i="3"/>
  <c r="I17" i="3"/>
  <c r="S16" i="3"/>
  <c r="Q16" i="3"/>
  <c r="K16" i="3"/>
  <c r="I16" i="3"/>
  <c r="S15" i="3"/>
  <c r="Q15" i="3"/>
  <c r="Q13" i="3" s="1"/>
  <c r="N8" i="3" s="1"/>
  <c r="M7" i="5" s="1"/>
  <c r="M15" i="3"/>
  <c r="K15" i="3"/>
  <c r="I15" i="3"/>
  <c r="S14" i="3"/>
  <c r="Q14" i="3"/>
  <c r="M14" i="3"/>
  <c r="K14" i="3"/>
  <c r="I14" i="3"/>
  <c r="L13" i="3"/>
  <c r="C162" i="5" s="1"/>
  <c r="F9" i="3"/>
  <c r="F8" i="3"/>
  <c r="F42" i="2"/>
  <c r="F41" i="2"/>
  <c r="F40" i="2"/>
  <c r="F39" i="2"/>
  <c r="F38" i="2"/>
  <c r="F37" i="2" s="1"/>
  <c r="E38" i="2"/>
  <c r="S19" i="2"/>
  <c r="Q19" i="2"/>
  <c r="K19" i="2"/>
  <c r="I19" i="2"/>
  <c r="S18" i="2"/>
  <c r="Q18" i="2"/>
  <c r="K18" i="2"/>
  <c r="I18" i="2"/>
  <c r="S17" i="2"/>
  <c r="Q17" i="2"/>
  <c r="Q13" i="2" s="1"/>
  <c r="K17" i="2"/>
  <c r="I17" i="2"/>
  <c r="S16" i="2"/>
  <c r="Q16" i="2"/>
  <c r="K16" i="2"/>
  <c r="I16" i="2"/>
  <c r="S15" i="2"/>
  <c r="Q15" i="2"/>
  <c r="K15" i="2"/>
  <c r="I15" i="2"/>
  <c r="S14" i="2"/>
  <c r="Q14" i="2"/>
  <c r="M14" i="2"/>
  <c r="M15" i="2" s="1"/>
  <c r="K14" i="2"/>
  <c r="I14" i="2"/>
  <c r="L13" i="2"/>
  <c r="C160" i="4" s="1"/>
  <c r="F9" i="2"/>
  <c r="F8" i="2"/>
  <c r="M16" i="2" l="1"/>
  <c r="E39" i="2"/>
  <c r="C58" i="4"/>
  <c r="C128" i="4"/>
  <c r="C135" i="4"/>
  <c r="C142" i="4"/>
  <c r="C164" i="4"/>
  <c r="C171" i="4"/>
  <c r="C178" i="4"/>
  <c r="C9" i="5"/>
  <c r="C21" i="5"/>
  <c r="C30" i="5"/>
  <c r="C54" i="5"/>
  <c r="C78" i="5"/>
  <c r="C102" i="5"/>
  <c r="C127" i="5"/>
  <c r="C145" i="5"/>
  <c r="C163" i="5"/>
  <c r="C122" i="4"/>
  <c r="C129" i="4"/>
  <c r="C136" i="4"/>
  <c r="C158" i="4"/>
  <c r="C165" i="4"/>
  <c r="C172" i="4"/>
  <c r="C13" i="5"/>
  <c r="C26" i="5"/>
  <c r="C50" i="5"/>
  <c r="C74" i="5"/>
  <c r="C98" i="5"/>
  <c r="C120" i="5"/>
  <c r="C138" i="5"/>
  <c r="C156" i="5"/>
  <c r="C174" i="5"/>
  <c r="C144" i="4"/>
  <c r="C180" i="4"/>
  <c r="C22" i="5"/>
  <c r="C41" i="5"/>
  <c r="C65" i="5"/>
  <c r="C89" i="5"/>
  <c r="C113" i="5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75" i="4"/>
  <c r="C79" i="4"/>
  <c r="C83" i="4"/>
  <c r="C87" i="4"/>
  <c r="C91" i="4"/>
  <c r="C95" i="4"/>
  <c r="C99" i="4"/>
  <c r="C103" i="4"/>
  <c r="C107" i="4"/>
  <c r="C111" i="4"/>
  <c r="C116" i="4"/>
  <c r="C123" i="4"/>
  <c r="C130" i="4"/>
  <c r="C152" i="4"/>
  <c r="C159" i="4"/>
  <c r="C166" i="4"/>
  <c r="C10" i="5"/>
  <c r="C18" i="5"/>
  <c r="C46" i="5"/>
  <c r="C70" i="5"/>
  <c r="C94" i="5"/>
  <c r="C121" i="5"/>
  <c r="C139" i="5"/>
  <c r="C157" i="5"/>
  <c r="C175" i="5"/>
  <c r="C22" i="4"/>
  <c r="C34" i="4"/>
  <c r="C54" i="4"/>
  <c r="C74" i="4"/>
  <c r="C86" i="4"/>
  <c r="C98" i="4"/>
  <c r="C102" i="4"/>
  <c r="C114" i="4"/>
  <c r="C150" i="4"/>
  <c r="C138" i="4"/>
  <c r="C174" i="4"/>
  <c r="C7" i="5"/>
  <c r="C14" i="5"/>
  <c r="C37" i="5"/>
  <c r="C61" i="5"/>
  <c r="C85" i="5"/>
  <c r="C109" i="5"/>
  <c r="C14" i="4"/>
  <c r="C38" i="4"/>
  <c r="C50" i="4"/>
  <c r="C70" i="4"/>
  <c r="C90" i="4"/>
  <c r="C110" i="4"/>
  <c r="C117" i="4"/>
  <c r="C124" i="4"/>
  <c r="C146" i="4"/>
  <c r="C153" i="4"/>
  <c r="C4" i="5"/>
  <c r="C42" i="5"/>
  <c r="C66" i="5"/>
  <c r="C90" i="5"/>
  <c r="C114" i="5"/>
  <c r="C132" i="5"/>
  <c r="C150" i="5"/>
  <c r="C168" i="5"/>
  <c r="C181" i="4"/>
  <c r="C175" i="4"/>
  <c r="C169" i="4"/>
  <c r="C163" i="4"/>
  <c r="C157" i="4"/>
  <c r="C151" i="4"/>
  <c r="C145" i="4"/>
  <c r="C139" i="4"/>
  <c r="C133" i="4"/>
  <c r="C127" i="4"/>
  <c r="C121" i="4"/>
  <c r="C115" i="4"/>
  <c r="C11" i="4"/>
  <c r="C8" i="4"/>
  <c r="C5" i="4"/>
  <c r="C179" i="4"/>
  <c r="C173" i="4"/>
  <c r="C167" i="4"/>
  <c r="C161" i="4"/>
  <c r="C155" i="4"/>
  <c r="C149" i="4"/>
  <c r="C143" i="4"/>
  <c r="C137" i="4"/>
  <c r="C131" i="4"/>
  <c r="C125" i="4"/>
  <c r="C119" i="4"/>
  <c r="C10" i="4"/>
  <c r="C7" i="4"/>
  <c r="C4" i="4"/>
  <c r="C26" i="4"/>
  <c r="C46" i="4"/>
  <c r="C82" i="4"/>
  <c r="E39" i="3"/>
  <c r="M16" i="3"/>
  <c r="C12" i="4"/>
  <c r="C16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76" i="4"/>
  <c r="C80" i="4"/>
  <c r="C84" i="4"/>
  <c r="C88" i="4"/>
  <c r="C92" i="4"/>
  <c r="C96" i="4"/>
  <c r="C100" i="4"/>
  <c r="C104" i="4"/>
  <c r="C108" i="4"/>
  <c r="C112" i="4"/>
  <c r="C132" i="4"/>
  <c r="C168" i="4"/>
  <c r="M4" i="5"/>
  <c r="M6" i="5" s="1"/>
  <c r="M8" i="5" s="1"/>
  <c r="M9" i="5" s="1"/>
  <c r="M10" i="5" s="1"/>
  <c r="M11" i="5" s="1"/>
  <c r="P4" i="3" s="1"/>
  <c r="C11" i="5"/>
  <c r="C33" i="5"/>
  <c r="C57" i="5"/>
  <c r="C81" i="5"/>
  <c r="C105" i="5"/>
  <c r="C18" i="4"/>
  <c r="C42" i="4"/>
  <c r="C66" i="4"/>
  <c r="C94" i="4"/>
  <c r="C118" i="4"/>
  <c r="C140" i="4"/>
  <c r="C147" i="4"/>
  <c r="C154" i="4"/>
  <c r="C176" i="4"/>
  <c r="C8" i="5"/>
  <c r="C24" i="5"/>
  <c r="C38" i="5"/>
  <c r="C62" i="5"/>
  <c r="C86" i="5"/>
  <c r="C110" i="5"/>
  <c r="C115" i="5"/>
  <c r="C133" i="5"/>
  <c r="C151" i="5"/>
  <c r="C169" i="5"/>
  <c r="C6" i="4"/>
  <c r="C30" i="4"/>
  <c r="C62" i="4"/>
  <c r="C78" i="4"/>
  <c r="C106" i="4"/>
  <c r="C126" i="4"/>
  <c r="C162" i="4"/>
  <c r="C5" i="5"/>
  <c r="C20" i="5"/>
  <c r="C29" i="5"/>
  <c r="C53" i="5"/>
  <c r="C77" i="5"/>
  <c r="C101" i="5"/>
  <c r="C13" i="4"/>
  <c r="C21" i="4"/>
  <c r="C29" i="4"/>
  <c r="C37" i="4"/>
  <c r="C49" i="4"/>
  <c r="C57" i="4"/>
  <c r="C65" i="4"/>
  <c r="C73" i="4"/>
  <c r="C81" i="4"/>
  <c r="C93" i="4"/>
  <c r="C101" i="4"/>
  <c r="C109" i="4"/>
  <c r="C141" i="4"/>
  <c r="C148" i="4"/>
  <c r="C170" i="4"/>
  <c r="C177" i="4"/>
  <c r="C16" i="5"/>
  <c r="C34" i="5"/>
  <c r="C58" i="5"/>
  <c r="C82" i="5"/>
  <c r="C106" i="5"/>
  <c r="C126" i="5"/>
  <c r="C144" i="5"/>
  <c r="C103" i="5"/>
  <c r="C87" i="5"/>
  <c r="C75" i="5"/>
  <c r="C63" i="5"/>
  <c r="C51" i="5"/>
  <c r="C39" i="5"/>
  <c r="C27" i="5"/>
  <c r="C19" i="5"/>
  <c r="C181" i="5"/>
  <c r="C180" i="5"/>
  <c r="C179" i="5"/>
  <c r="C173" i="5"/>
  <c r="C167" i="5"/>
  <c r="C161" i="5"/>
  <c r="C155" i="5"/>
  <c r="C149" i="5"/>
  <c r="C143" i="5"/>
  <c r="C137" i="5"/>
  <c r="C131" i="5"/>
  <c r="C125" i="5"/>
  <c r="C119" i="5"/>
  <c r="C178" i="5"/>
  <c r="C172" i="5"/>
  <c r="C166" i="5"/>
  <c r="C160" i="5"/>
  <c r="C154" i="5"/>
  <c r="C148" i="5"/>
  <c r="C142" i="5"/>
  <c r="C136" i="5"/>
  <c r="C130" i="5"/>
  <c r="C124" i="5"/>
  <c r="C118" i="5"/>
  <c r="C171" i="5"/>
  <c r="C165" i="5"/>
  <c r="C159" i="5"/>
  <c r="C153" i="5"/>
  <c r="C147" i="5"/>
  <c r="C141" i="5"/>
  <c r="C135" i="5"/>
  <c r="C129" i="5"/>
  <c r="C123" i="5"/>
  <c r="C117" i="5"/>
  <c r="C112" i="5"/>
  <c r="C108" i="5"/>
  <c r="C104" i="5"/>
  <c r="C100" i="5"/>
  <c r="C96" i="5"/>
  <c r="C92" i="5"/>
  <c r="C88" i="5"/>
  <c r="C84" i="5"/>
  <c r="C80" i="5"/>
  <c r="C76" i="5"/>
  <c r="C72" i="5"/>
  <c r="C68" i="5"/>
  <c r="C64" i="5"/>
  <c r="C60" i="5"/>
  <c r="C56" i="5"/>
  <c r="C48" i="5"/>
  <c r="C44" i="5"/>
  <c r="C40" i="5"/>
  <c r="C36" i="5"/>
  <c r="C32" i="5"/>
  <c r="C28" i="5"/>
  <c r="C52" i="5"/>
  <c r="C177" i="5"/>
  <c r="C176" i="5"/>
  <c r="C170" i="5"/>
  <c r="C164" i="5"/>
  <c r="C158" i="5"/>
  <c r="C152" i="5"/>
  <c r="C146" i="5"/>
  <c r="C140" i="5"/>
  <c r="C134" i="5"/>
  <c r="C128" i="5"/>
  <c r="C122" i="5"/>
  <c r="C116" i="5"/>
  <c r="C111" i="5"/>
  <c r="C107" i="5"/>
  <c r="C99" i="5"/>
  <c r="C95" i="5"/>
  <c r="C91" i="5"/>
  <c r="C83" i="5"/>
  <c r="C79" i="5"/>
  <c r="C71" i="5"/>
  <c r="C67" i="5"/>
  <c r="C59" i="5"/>
  <c r="C55" i="5"/>
  <c r="C47" i="5"/>
  <c r="C43" i="5"/>
  <c r="C35" i="5"/>
  <c r="C31" i="5"/>
  <c r="C23" i="5"/>
  <c r="C15" i="5"/>
  <c r="C9" i="4"/>
  <c r="C17" i="4"/>
  <c r="C25" i="4"/>
  <c r="C33" i="4"/>
  <c r="C41" i="4"/>
  <c r="C45" i="4"/>
  <c r="C53" i="4"/>
  <c r="C61" i="4"/>
  <c r="C69" i="4"/>
  <c r="C77" i="4"/>
  <c r="C85" i="4"/>
  <c r="C89" i="4"/>
  <c r="C97" i="4"/>
  <c r="C105" i="4"/>
  <c r="C113" i="4"/>
  <c r="C134" i="4"/>
  <c r="N8" i="2"/>
  <c r="F8" i="1" s="1"/>
  <c r="G8" i="1" s="1"/>
  <c r="H8" i="1" s="1"/>
  <c r="I8" i="1" s="1"/>
  <c r="C120" i="4"/>
  <c r="C156" i="4"/>
  <c r="C12" i="5"/>
  <c r="C25" i="5"/>
  <c r="C49" i="5"/>
  <c r="C73" i="5"/>
  <c r="C97" i="5"/>
  <c r="F7" i="1" l="1"/>
  <c r="G7" i="1" s="1"/>
  <c r="H7" i="1" s="1"/>
  <c r="I7" i="1" s="1"/>
  <c r="E40" i="3"/>
  <c r="M17" i="3"/>
  <c r="F15" i="1"/>
  <c r="G15" i="1" s="1"/>
  <c r="H15" i="1" s="1"/>
  <c r="I15" i="1" s="1"/>
  <c r="F33" i="1"/>
  <c r="G33" i="1" s="1"/>
  <c r="H33" i="1" s="1"/>
  <c r="I33" i="1" s="1"/>
  <c r="F13" i="1"/>
  <c r="G13" i="1" s="1"/>
  <c r="H13" i="1" s="1"/>
  <c r="I13" i="1" s="1"/>
  <c r="F11" i="1"/>
  <c r="G11" i="1" s="1"/>
  <c r="H11" i="1" s="1"/>
  <c r="I11" i="1" s="1"/>
  <c r="F21" i="1"/>
  <c r="G21" i="1" s="1"/>
  <c r="H21" i="1" s="1"/>
  <c r="I21" i="1" s="1"/>
  <c r="F36" i="1"/>
  <c r="G36" i="1" s="1"/>
  <c r="H36" i="1" s="1"/>
  <c r="I36" i="1" s="1"/>
  <c r="F17" i="1"/>
  <c r="G17" i="1" s="1"/>
  <c r="H17" i="1" s="1"/>
  <c r="I17" i="1" s="1"/>
  <c r="F32" i="1"/>
  <c r="G32" i="1" s="1"/>
  <c r="H32" i="1" s="1"/>
  <c r="I32" i="1" s="1"/>
  <c r="F9" i="1"/>
  <c r="G9" i="1" s="1"/>
  <c r="H9" i="1" s="1"/>
  <c r="I9" i="1" s="1"/>
  <c r="F24" i="1"/>
  <c r="G24" i="1" s="1"/>
  <c r="H24" i="1" s="1"/>
  <c r="I24" i="1" s="1"/>
  <c r="F23" i="1"/>
  <c r="G23" i="1" s="1"/>
  <c r="H23" i="1" s="1"/>
  <c r="I23" i="1" s="1"/>
  <c r="F20" i="1"/>
  <c r="G20" i="1" s="1"/>
  <c r="H20" i="1" s="1"/>
  <c r="I20" i="1" s="1"/>
  <c r="F28" i="1"/>
  <c r="G28" i="1" s="1"/>
  <c r="H28" i="1" s="1"/>
  <c r="I28" i="1" s="1"/>
  <c r="F12" i="1"/>
  <c r="G12" i="1" s="1"/>
  <c r="H12" i="1" s="1"/>
  <c r="I12" i="1" s="1"/>
  <c r="F25" i="1"/>
  <c r="G25" i="1" s="1"/>
  <c r="H25" i="1" s="1"/>
  <c r="I25" i="1" s="1"/>
  <c r="M7" i="4"/>
  <c r="F26" i="1"/>
  <c r="G26" i="1" s="1"/>
  <c r="H26" i="1" s="1"/>
  <c r="I26" i="1" s="1"/>
  <c r="F14" i="1"/>
  <c r="G14" i="1" s="1"/>
  <c r="H14" i="1" s="1"/>
  <c r="I14" i="1" s="1"/>
  <c r="F18" i="1"/>
  <c r="G18" i="1" s="1"/>
  <c r="H18" i="1" s="1"/>
  <c r="I18" i="1" s="1"/>
  <c r="F30" i="1"/>
  <c r="G30" i="1" s="1"/>
  <c r="H30" i="1" s="1"/>
  <c r="I30" i="1" s="1"/>
  <c r="F34" i="1"/>
  <c r="G34" i="1" s="1"/>
  <c r="H34" i="1" s="1"/>
  <c r="I34" i="1" s="1"/>
  <c r="F22" i="1"/>
  <c r="G22" i="1" s="1"/>
  <c r="H22" i="1" s="1"/>
  <c r="I22" i="1" s="1"/>
  <c r="F10" i="1"/>
  <c r="G10" i="1" s="1"/>
  <c r="H10" i="1" s="1"/>
  <c r="I10" i="1" s="1"/>
  <c r="F6" i="1"/>
  <c r="G6" i="1" s="1"/>
  <c r="H6" i="1" s="1"/>
  <c r="I6" i="1" s="1"/>
  <c r="F16" i="1"/>
  <c r="G16" i="1" s="1"/>
  <c r="H16" i="1" s="1"/>
  <c r="I16" i="1" s="1"/>
  <c r="M17" i="2"/>
  <c r="E40" i="2"/>
  <c r="F35" i="1"/>
  <c r="G35" i="1" s="1"/>
  <c r="H35" i="1" s="1"/>
  <c r="I35" i="1" s="1"/>
  <c r="F31" i="1"/>
  <c r="G31" i="1" s="1"/>
  <c r="H31" i="1" s="1"/>
  <c r="I31" i="1" s="1"/>
  <c r="F29" i="1"/>
  <c r="G29" i="1" s="1"/>
  <c r="H29" i="1" s="1"/>
  <c r="I29" i="1" s="1"/>
  <c r="F27" i="1"/>
  <c r="G27" i="1" s="1"/>
  <c r="H27" i="1" s="1"/>
  <c r="I27" i="1" s="1"/>
  <c r="F19" i="1"/>
  <c r="G19" i="1" s="1"/>
  <c r="H19" i="1" s="1"/>
  <c r="I19" i="1" s="1"/>
  <c r="M8" i="4"/>
  <c r="M9" i="4" s="1"/>
  <c r="M10" i="4" s="1"/>
  <c r="M11" i="4" s="1"/>
  <c r="P4" i="2" s="1"/>
  <c r="M18" i="3" l="1"/>
  <c r="E41" i="3"/>
  <c r="E41" i="2"/>
  <c r="M18" i="2"/>
  <c r="E42" i="2" l="1"/>
  <c r="M19" i="2"/>
  <c r="E43" i="2" s="1"/>
  <c r="M19" i="3"/>
  <c r="E43" i="3" s="1"/>
  <c r="E42" i="3"/>
</calcChain>
</file>

<file path=xl/sharedStrings.xml><?xml version="1.0" encoding="utf-8"?>
<sst xmlns="http://schemas.openxmlformats.org/spreadsheetml/2006/main" count="220" uniqueCount="86">
  <si>
    <t>解析モード</t>
  </si>
  <si>
    <t>解析範囲</t>
  </si>
  <si>
    <t>α(degree)</t>
  </si>
  <si>
    <t>~</t>
  </si>
  <si>
    <t>ステップ</t>
  </si>
  <si>
    <t>1:v　2:α</t>
  </si>
  <si>
    <t>v(m/s)</t>
  </si>
  <si>
    <t>機速/翼根迎角</t>
  </si>
  <si>
    <t>翼根迎角/機速</t>
  </si>
  <si>
    <t>主翼形状抵抗</t>
  </si>
  <si>
    <t>主翼翼効率</t>
  </si>
  <si>
    <t>主翼誘導抵抗</t>
  </si>
  <si>
    <t>主翼総抵抗</t>
  </si>
  <si>
    <t>必要推力(全機抗力+5N)</t>
  </si>
  <si>
    <t>Power</t>
  </si>
  <si>
    <t>定数コーナー</t>
  </si>
  <si>
    <t>誘導抗力概算式</t>
  </si>
  <si>
    <t>重力加速度</t>
  </si>
  <si>
    <t>[m/s^2]</t>
  </si>
  <si>
    <t>必要ぱわー</t>
  </si>
  <si>
    <t>空気密度</t>
  </si>
  <si>
    <t>[N/m^3]</t>
  </si>
  <si>
    <t>尾翼抵抗</t>
  </si>
  <si>
    <t>N</t>
  </si>
  <si>
    <t>全機揚力係数^2/π・アス比・翼効率</t>
  </si>
  <si>
    <t>定常機速</t>
  </si>
  <si>
    <t>[m/s]</t>
  </si>
  <si>
    <t>フレーム抵抗</t>
  </si>
  <si>
    <t>機体重量</t>
  </si>
  <si>
    <t>[kg]</t>
  </si>
  <si>
    <t>フェアリング抵抗</t>
  </si>
  <si>
    <t>P重量</t>
  </si>
  <si>
    <t>駆動効率</t>
  </si>
  <si>
    <t>翼効率</t>
  </si>
  <si>
    <t>総重量</t>
  </si>
  <si>
    <t>ペラ効率</t>
  </si>
  <si>
    <t>AR</t>
  </si>
  <si>
    <t>必要揚力</t>
  </si>
  <si>
    <t>[N]</t>
  </si>
  <si>
    <t>動粘性係数 ν</t>
  </si>
  <si>
    <t>m^2/s</t>
  </si>
  <si>
    <t>翼型</t>
  </si>
  <si>
    <t>cord</t>
  </si>
  <si>
    <t>Re</t>
  </si>
  <si>
    <t>区間長さ</t>
  </si>
  <si>
    <t>翼根からの距離</t>
  </si>
  <si>
    <t>むかえかく(度)</t>
  </si>
  <si>
    <t>翼面積(m^2)</t>
  </si>
  <si>
    <t>備考</t>
  </si>
  <si>
    <t>平均空力翼弦長</t>
  </si>
  <si>
    <t>合計値とか</t>
  </si>
  <si>
    <t>FP</t>
  </si>
  <si>
    <t>LXA-1M3GX</t>
  </si>
  <si>
    <t>FPA</t>
  </si>
  <si>
    <t>LXA-2M6GX</t>
  </si>
  <si>
    <t>STL-07</t>
  </si>
  <si>
    <t>rev_tip_115_mod</t>
  </si>
  <si>
    <t>A</t>
  </si>
  <si>
    <t>設計制約</t>
  </si>
  <si>
    <t>・ハイエースでの機体輸送に対応(スパン制約2500程度と予想)
・ダイダロス型
・</t>
  </si>
  <si>
    <t> https://youtube。com/playlist？list=PLtl5ylS6jdP6uOxzSJKPnUsvMbkmalfKg&amp;si=yGcgfqDeptw4trVc</t>
  </si>
  <si>
    <t>LXA-1M3GXFP2</t>
  </si>
  <si>
    <t>LXA-1M3GXFP</t>
  </si>
  <si>
    <t>LXA-2M6GXFP</t>
  </si>
  <si>
    <t>STL-07FP</t>
  </si>
  <si>
    <t>rev_tip_115_modFP</t>
  </si>
  <si>
    <t>定常時揚力分布</t>
  </si>
  <si>
    <t>水色は消すな！！</t>
  </si>
  <si>
    <t>各種パラメータ</t>
  </si>
  <si>
    <t>楕円理想</t>
  </si>
  <si>
    <t>誘導迎角</t>
  </si>
  <si>
    <t>Cl</t>
  </si>
  <si>
    <t>Cd</t>
  </si>
  <si>
    <t>Cm</t>
  </si>
  <si>
    <t>XCp</t>
  </si>
  <si>
    <t>局所揚力</t>
  </si>
  <si>
    <t>形状抵抗</t>
  </si>
  <si>
    <t>L初期値</t>
  </si>
  <si>
    <t>総揚力</t>
  </si>
  <si>
    <t>両翼形状抵抗</t>
  </si>
  <si>
    <t>全機Cl</t>
  </si>
  <si>
    <t>全機誘導抵抗</t>
  </si>
  <si>
    <t>主翼総合抵抗</t>
  </si>
  <si>
    <t>全機抵抗</t>
  </si>
  <si>
    <t>必要出力</t>
  </si>
  <si>
    <t>低速時揚力分布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</si>
</sst>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6"/>
      <color theme="1"/>
      <name val="けいふぉんと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2"/>
      <color theme="1"/>
      <name val="HGP創英角ﾎﾟｯﾌﾟ体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 applyAlignment="1"/>
    <xf numFmtId="0" fontId="0" fillId="0" borderId="0" xfId="0" applyAlignment="1"/>
    <xf numFmtId="0" fontId="0" fillId="0" borderId="10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/>
    <xf numFmtId="0" fontId="0" fillId="4" borderId="9" xfId="0" applyFill="1" applyBorder="1">
      <alignment vertical="center"/>
    </xf>
    <xf numFmtId="0" fontId="3" fillId="0" borderId="0" xfId="1">
      <alignment vertical="center"/>
    </xf>
    <xf numFmtId="0" fontId="0" fillId="2" borderId="0" xfId="0" applyFill="1" applyAlignment="1"/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8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17" xfId="0" applyBorder="1" applyAlignment="1"/>
    <xf numFmtId="0" fontId="0" fillId="0" borderId="17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/>
    <xf numFmtId="0" fontId="0" fillId="0" borderId="2" xfId="0" applyBorder="1" applyAlignment="1">
      <alignment horizontal="center" vertical="center"/>
    </xf>
    <xf numFmtId="0" fontId="0" fillId="0" borderId="11" xfId="0" applyBorder="1" applyAlignment="1"/>
    <xf numFmtId="0" fontId="0" fillId="0" borderId="13" xfId="0" applyBorder="1" applyAlignment="1"/>
    <xf numFmtId="0" fontId="0" fillId="0" borderId="5" xfId="0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0" xfId="0" applyAlignment="1">
      <alignment horizontal="left" vertical="top" wrapText="1"/>
    </xf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2" fillId="0" borderId="12" xfId="0" applyFont="1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5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r>
              <a:rPr lang="en-US" altLang="ja-JP"/>
              <a:t>P-α</a:t>
            </a:r>
            <a:endParaRPr lang="ja-JP" altLang="en-US"/>
          </a:p>
        </c:rich>
      </c:tx>
      <c:layout>
        <c:manualLayout>
          <c:xMode val="edge"/>
          <c:yMode val="edge"/>
          <c:x val="0.42608134548537002"/>
          <c:y val="5.0916820157715183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比較モード!$C$6:$C$21</c:f>
              <c:numCache>
                <c:formatCode>General</c:formatCode>
                <c:ptCount val="16"/>
              </c:numCache>
            </c:numRef>
          </c:xVal>
          <c:yVal>
            <c:numRef>
              <c:f>比較モード!$I$6:$I$21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8-4223-B0A0-7656C2EB4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720832"/>
        <c:axId val="542721792"/>
      </c:scatterChart>
      <c:valAx>
        <c:axId val="54272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721792"/>
        <c:crosses val="autoZero"/>
        <c:crossBetween val="midCat"/>
      </c:valAx>
      <c:valAx>
        <c:axId val="542721792"/>
        <c:scaling>
          <c:orientation val="minMax"/>
          <c:max val="40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427208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主翼平面形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BASE!$E$37:$E$42</c:f>
              <c:numCache>
                <c:formatCode>General</c:formatCode>
                <c:ptCount val="6"/>
                <c:pt idx="0">
                  <c:v>0</c:v>
                </c:pt>
                <c:pt idx="1">
                  <c:v>1500</c:v>
                </c:pt>
                <c:pt idx="2">
                  <c:v>4200</c:v>
                </c:pt>
                <c:pt idx="3">
                  <c:v>6900</c:v>
                </c:pt>
                <c:pt idx="4">
                  <c:v>9400</c:v>
                </c:pt>
                <c:pt idx="5">
                  <c:v>10900</c:v>
                </c:pt>
              </c:numCache>
            </c:numRef>
          </c:xVal>
          <c:yVal>
            <c:numRef>
              <c:f>BASE!$F$37:$F$42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660</c:v>
                </c:pt>
                <c:pt idx="4">
                  <c:v>540</c:v>
                </c:pt>
                <c:pt idx="5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BEC-89BD-A3480BDD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344"/>
        <c:axId val="20561824"/>
      </c:scatterChart>
      <c:valAx>
        <c:axId val="205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824"/>
        <c:crosses val="autoZero"/>
        <c:crossBetween val="midCat"/>
      </c:valAx>
      <c:valAx>
        <c:axId val="205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34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主翼平面形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BASE!$E$37:$E$42</c:f>
              <c:numCache>
                <c:formatCode>General</c:formatCode>
                <c:ptCount val="6"/>
                <c:pt idx="0">
                  <c:v>0</c:v>
                </c:pt>
                <c:pt idx="1">
                  <c:v>1500</c:v>
                </c:pt>
                <c:pt idx="2">
                  <c:v>4200</c:v>
                </c:pt>
                <c:pt idx="3">
                  <c:v>6900</c:v>
                </c:pt>
                <c:pt idx="4">
                  <c:v>9400</c:v>
                </c:pt>
                <c:pt idx="5">
                  <c:v>10900</c:v>
                </c:pt>
              </c:numCache>
            </c:numRef>
          </c:xVal>
          <c:yVal>
            <c:numRef>
              <c:f>BASE!$F$37:$F$42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660</c:v>
                </c:pt>
                <c:pt idx="4">
                  <c:v>540</c:v>
                </c:pt>
                <c:pt idx="5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9-4466-B3ED-E7828AFE6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344"/>
        <c:axId val="20561824"/>
      </c:scatterChart>
      <c:valAx>
        <c:axId val="205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824"/>
        <c:crosses val="autoZero"/>
        <c:crossBetween val="midCat"/>
      </c:valAx>
      <c:valAx>
        <c:axId val="205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34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揚力分布だよ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楕円分布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定常時揚力分布!$A$4:$A$181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定常時揚力分布!$C$4:$C$181</c:f>
              <c:numCache>
                <c:formatCode>General</c:formatCode>
                <c:ptCount val="178"/>
                <c:pt idx="0">
                  <c:v>5.1500320176156604</c:v>
                </c:pt>
                <c:pt idx="1">
                  <c:v>5.1498152791092577</c:v>
                </c:pt>
                <c:pt idx="2">
                  <c:v>5.149165008852342</c:v>
                </c:pt>
                <c:pt idx="3">
                  <c:v>5.1480810425626542</c:v>
                </c:pt>
                <c:pt idx="4">
                  <c:v>5.1465631062057398</c:v>
                </c:pt>
                <c:pt idx="5">
                  <c:v>5.1446108156482193</c:v>
                </c:pt>
                <c:pt idx="6">
                  <c:v>5.1422236761709081</c:v>
                </c:pt>
                <c:pt idx="7">
                  <c:v>5.1394010818403846</c:v>
                </c:pt>
                <c:pt idx="8">
                  <c:v>5.1361423147371061</c:v>
                </c:pt>
                <c:pt idx="9">
                  <c:v>5.1324465440377871</c:v>
                </c:pt>
                <c:pt idx="10">
                  <c:v>5.1283128249492789</c:v>
                </c:pt>
                <c:pt idx="11">
                  <c:v>5.1237400974907539</c:v>
                </c:pt>
                <c:pt idx="12">
                  <c:v>5.1187271851204681</c:v>
                </c:pt>
                <c:pt idx="13">
                  <c:v>5.1132727932029516</c:v>
                </c:pt>
                <c:pt idx="14">
                  <c:v>5.107375507311871</c:v>
                </c:pt>
                <c:pt idx="15">
                  <c:v>5.1010337913633057</c:v>
                </c:pt>
                <c:pt idx="16">
                  <c:v>5.0942459855736146</c:v>
                </c:pt>
                <c:pt idx="17">
                  <c:v>5.0870103042353785</c:v>
                </c:pt>
                <c:pt idx="18">
                  <c:v>5.0793248333043639</c:v>
                </c:pt>
                <c:pt idx="19">
                  <c:v>5.0711875277896556</c:v>
                </c:pt>
                <c:pt idx="20">
                  <c:v>5.0625962089384302</c:v>
                </c:pt>
                <c:pt idx="21">
                  <c:v>5.05354856120604</c:v>
                </c:pt>
                <c:pt idx="22">
                  <c:v>5.0440421290011992</c:v>
                </c:pt>
                <c:pt idx="23">
                  <c:v>5.0340743131952008</c:v>
                </c:pt>
                <c:pt idx="24">
                  <c:v>5.0236423673830481</c:v>
                </c:pt>
                <c:pt idx="25">
                  <c:v>5.0127433938833983</c:v>
                </c:pt>
                <c:pt idx="26">
                  <c:v>5.0013743394629833</c:v>
                </c:pt>
                <c:pt idx="27">
                  <c:v>4.9895319907700157</c:v>
                </c:pt>
                <c:pt idx="28">
                  <c:v>4.9772129694596607</c:v>
                </c:pt>
                <c:pt idx="29">
                  <c:v>4.9644137269932465</c:v>
                </c:pt>
                <c:pt idx="30">
                  <c:v>4.9511305390912428</c:v>
                </c:pt>
                <c:pt idx="31">
                  <c:v>4.9373594998183359</c:v>
                </c:pt>
                <c:pt idx="32">
                  <c:v>4.9230965152769723</c:v>
                </c:pt>
                <c:pt idx="33">
                  <c:v>4.908337296883702</c:v>
                </c:pt>
                <c:pt idx="34">
                  <c:v>4.8930773542003605</c:v>
                </c:pt>
                <c:pt idx="35">
                  <c:v>4.8773119872895832</c:v>
                </c:pt>
                <c:pt idx="36">
                  <c:v>4.8610362785614321</c:v>
                </c:pt>
                <c:pt idx="37">
                  <c:v>4.8442450840748696</c:v>
                </c:pt>
                <c:pt idx="38">
                  <c:v>4.8269330242544459</c:v>
                </c:pt>
                <c:pt idx="39">
                  <c:v>4.8090944739788855</c:v>
                </c:pt>
                <c:pt idx="40">
                  <c:v>4.7907235519941862</c:v>
                </c:pt>
                <c:pt idx="41">
                  <c:v>4.7718141095992825</c:v>
                </c:pt>
                <c:pt idx="42">
                  <c:v>4.7523597185473285</c:v>
                </c:pt>
                <c:pt idx="43">
                  <c:v>4.7323536581000738</c:v>
                </c:pt>
                <c:pt idx="44">
                  <c:v>4.7117889011665754</c:v>
                </c:pt>
                <c:pt idx="45">
                  <c:v>4.690658099450582</c:v>
                </c:pt>
                <c:pt idx="46">
                  <c:v>4.6689535675232001</c:v>
                </c:pt>
                <c:pt idx="47">
                  <c:v>4.6466672657287784</c:v>
                </c:pt>
                <c:pt idx="48">
                  <c:v>4.6237907818222652</c:v>
                </c:pt>
                <c:pt idx="49">
                  <c:v>4.6003153112254394</c:v>
                </c:pt>
                <c:pt idx="50">
                  <c:v>4.5762316357771171</c:v>
                </c:pt>
                <c:pt idx="51">
                  <c:v>4.5515301008387139</c:v>
                </c:pt>
                <c:pt idx="52">
                  <c:v>4.5262005906008955</c:v>
                </c:pt>
                <c:pt idx="53">
                  <c:v>4.5002325014194957</c:v>
                </c:pt>
                <c:pt idx="54">
                  <c:v>4.4736147129888497</c:v>
                </c:pt>
                <c:pt idx="55">
                  <c:v>4.4463355571380001</c:v>
                </c:pt>
                <c:pt idx="56">
                  <c:v>4.4183827840093874</c:v>
                </c:pt>
                <c:pt idx="57">
                  <c:v>4.3897435253500685</c:v>
                </c:pt>
                <c:pt idx="58">
                  <c:v>4.3604042546117912</c:v>
                </c:pt>
                <c:pt idx="59">
                  <c:v>4.3303507435174149</c:v>
                </c:pt>
                <c:pt idx="60">
                  <c:v>4.2995680147066526</c:v>
                </c:pt>
                <c:pt idx="61">
                  <c:v>4.2680402900226504</c:v>
                </c:pt>
                <c:pt idx="62">
                  <c:v>4.2357509339414916</c:v>
                </c:pt>
                <c:pt idx="63">
                  <c:v>4.2026823915777012</c:v>
                </c:pt>
                <c:pt idx="64">
                  <c:v>4.1688161206186303</c:v>
                </c:pt>
                <c:pt idx="65">
                  <c:v>4.1341325164469174</c:v>
                </c:pt>
                <c:pt idx="66">
                  <c:v>4.0986108296005783</c:v>
                </c:pt>
                <c:pt idx="67">
                  <c:v>4.0622290745914373</c:v>
                </c:pt>
                <c:pt idx="68">
                  <c:v>4.0249639289507098</c:v>
                </c:pt>
                <c:pt idx="69">
                  <c:v>3.9867906211906989</c:v>
                </c:pt>
                <c:pt idx="70">
                  <c:v>3.9476828061579821</c:v>
                </c:pt>
                <c:pt idx="71">
                  <c:v>3.9076124259985221</c:v>
                </c:pt>
                <c:pt idx="72">
                  <c:v>3.866549554649755</c:v>
                </c:pt>
                <c:pt idx="73">
                  <c:v>3.82446222340708</c:v>
                </c:pt>
                <c:pt idx="74">
                  <c:v>3.7813162246676604</c:v>
                </c:pt>
                <c:pt idx="75">
                  <c:v>3.7370748904140814</c:v>
                </c:pt>
                <c:pt idx="76">
                  <c:v>3.6916988413403113</c:v>
                </c:pt>
                <c:pt idx="77">
                  <c:v>3.6451457017113644</c:v>
                </c:pt>
                <c:pt idx="78">
                  <c:v>3.5973697740457169</c:v>
                </c:pt>
                <c:pt idx="79">
                  <c:v>3.5483216664631865</c:v>
                </c:pt>
                <c:pt idx="80">
                  <c:v>3.4979478639808077</c:v>
                </c:pt>
                <c:pt idx="81">
                  <c:v>3.4461902330726257</c:v>
                </c:pt>
                <c:pt idx="82">
                  <c:v>3.3929854463118287</c:v>
                </c:pt>
                <c:pt idx="83">
                  <c:v>3.3382643107165824</c:v>
                </c:pt>
                <c:pt idx="84">
                  <c:v>3.2819509792935198</c:v>
                </c:pt>
                <c:pt idx="85">
                  <c:v>3.223962019895517</c:v>
                </c:pt>
                <c:pt idx="86">
                  <c:v>3.1642053084358057</c:v>
                </c:pt>
                <c:pt idx="87">
                  <c:v>3.1025787040942796</c:v>
                </c:pt>
                <c:pt idx="88">
                  <c:v>3.0389684515023845</c:v>
                </c:pt>
                <c:pt idx="89">
                  <c:v>2.9732472376705772</c:v>
                </c:pt>
                <c:pt idx="90">
                  <c:v>2.9052718076569173</c:v>
                </c:pt>
                <c:pt idx="91">
                  <c:v>2.8348800096966937</c:v>
                </c:pt>
                <c:pt idx="92">
                  <c:v>2.7618870931577226</c:v>
                </c:pt>
                <c:pt idx="93">
                  <c:v>2.6860810140958069</c:v>
                </c:pt>
                <c:pt idx="94">
                  <c:v>2.6072164018704238</c:v>
                </c:pt>
                <c:pt idx="95">
                  <c:v>2.5250066873257624</c:v>
                </c:pt>
                <c:pt idx="96">
                  <c:v>2.4391136564045017</c:v>
                </c:pt>
                <c:pt idx="97">
                  <c:v>2.3491333167020363</c:v>
                </c:pt>
                <c:pt idx="98">
                  <c:v>2.2545763467626321</c:v>
                </c:pt>
                <c:pt idx="99">
                  <c:v>2.1548403467739838</c:v>
                </c:pt>
                <c:pt idx="100">
                  <c:v>2.049169243803441</c:v>
                </c:pt>
                <c:pt idx="101">
                  <c:v>1.9365917257843395</c:v>
                </c:pt>
                <c:pt idx="102">
                  <c:v>1.8158236940750114</c:v>
                </c:pt>
                <c:pt idx="103">
                  <c:v>1.6851050758078954</c:v>
                </c:pt>
                <c:pt idx="104">
                  <c:v>1.5419071950102261</c:v>
                </c:pt>
                <c:pt idx="105">
                  <c:v>1.3823573099949693</c:v>
                </c:pt>
                <c:pt idx="106">
                  <c:v>1.1999503822784556</c:v>
                </c:pt>
                <c:pt idx="107">
                  <c:v>0.98203124203120562</c:v>
                </c:pt>
                <c:pt idx="108">
                  <c:v>0.69600650405146902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E-4502-B7B0-70DABA88E9F2}"/>
            </c:ext>
          </c:extLst>
        </c:ser>
        <c:ser>
          <c:idx val="1"/>
          <c:order val="1"/>
          <c:tx>
            <c:v>局所揚力分布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定常時揚力分布!$A$4:$A$181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定常時揚力分布!$I$4:$I$181</c:f>
              <c:numCache>
                <c:formatCode>General</c:formatCode>
                <c:ptCount val="178"/>
                <c:pt idx="0">
                  <c:v>5.1110667351572072</c:v>
                </c:pt>
                <c:pt idx="1">
                  <c:v>5.1110373942050451</c:v>
                </c:pt>
                <c:pt idx="2">
                  <c:v>5.1109050778146008</c:v>
                </c:pt>
                <c:pt idx="3">
                  <c:v>5.1106841614857581</c:v>
                </c:pt>
                <c:pt idx="4">
                  <c:v>5.1104038934157945</c:v>
                </c:pt>
                <c:pt idx="5">
                  <c:v>5.1100033128805862</c:v>
                </c:pt>
                <c:pt idx="6">
                  <c:v>5.1095263897536309</c:v>
                </c:pt>
                <c:pt idx="7">
                  <c:v>5.1089880508646814</c:v>
                </c:pt>
                <c:pt idx="8">
                  <c:v>5.1083080144632476</c:v>
                </c:pt>
                <c:pt idx="9">
                  <c:v>5.107562440441666</c:v>
                </c:pt>
                <c:pt idx="10">
                  <c:v>5.1067361011783801</c:v>
                </c:pt>
                <c:pt idx="11">
                  <c:v>5.1057726296153358</c:v>
                </c:pt>
                <c:pt idx="12">
                  <c:v>5.1047377764746189</c:v>
                </c:pt>
                <c:pt idx="13">
                  <c:v>5.103598833021981</c:v>
                </c:pt>
                <c:pt idx="14">
                  <c:v>5.1023240405366703</c:v>
                </c:pt>
                <c:pt idx="15">
                  <c:v>5.1009693864756471</c:v>
                </c:pt>
                <c:pt idx="16">
                  <c:v>5.099481748042888</c:v>
                </c:pt>
                <c:pt idx="17">
                  <c:v>5.0978555867879898</c:v>
                </c:pt>
                <c:pt idx="18">
                  <c:v>5.0961459170464316</c:v>
                </c:pt>
                <c:pt idx="19">
                  <c:v>5.0942839246891998</c:v>
                </c:pt>
                <c:pt idx="20">
                  <c:v>5.0922774952441801</c:v>
                </c:pt>
                <c:pt idx="21">
                  <c:v>5.090163725113201</c:v>
                </c:pt>
                <c:pt idx="22">
                  <c:v>5.0878352457662395</c:v>
                </c:pt>
                <c:pt idx="23">
                  <c:v>5.0853468151137546</c:v>
                </c:pt>
                <c:pt idx="24">
                  <c:v>5.0827267965197942</c:v>
                </c:pt>
                <c:pt idx="25">
                  <c:v>5.0798286808064015</c:v>
                </c:pt>
                <c:pt idx="26">
                  <c:v>5.0767423894191683</c:v>
                </c:pt>
                <c:pt idx="27">
                  <c:v>5.0734882059243862</c:v>
                </c:pt>
                <c:pt idx="28">
                  <c:v>5.0698680706114247</c:v>
                </c:pt>
                <c:pt idx="29">
                  <c:v>5.0660086729787217</c:v>
                </c:pt>
                <c:pt idx="30">
                  <c:v>5.0619241575351923</c:v>
                </c:pt>
                <c:pt idx="31">
                  <c:v>5.0573463033530972</c:v>
                </c:pt>
                <c:pt idx="32">
                  <c:v>5.0524329780278459</c:v>
                </c:pt>
                <c:pt idx="33">
                  <c:v>5.0471971478570374</c:v>
                </c:pt>
                <c:pt idx="34">
                  <c:v>5.0412704722657038</c:v>
                </c:pt>
                <c:pt idx="35">
                  <c:v>5.0348113689597902</c:v>
                </c:pt>
                <c:pt idx="36">
                  <c:v>5.0278426636440798</c:v>
                </c:pt>
                <c:pt idx="37">
                  <c:v>5.0198407170479244</c:v>
                </c:pt>
                <c:pt idx="38">
                  <c:v>5.0108327246890649</c:v>
                </c:pt>
                <c:pt idx="39">
                  <c:v>5.0008644182612407</c:v>
                </c:pt>
                <c:pt idx="40">
                  <c:v>4.9891178348149232</c:v>
                </c:pt>
                <c:pt idx="41">
                  <c:v>4.9745917005117057</c:v>
                </c:pt>
                <c:pt idx="42">
                  <c:v>4.9665331406846684</c:v>
                </c:pt>
                <c:pt idx="43">
                  <c:v>4.9384748550218713</c:v>
                </c:pt>
                <c:pt idx="44">
                  <c:v>4.9082110277795099</c:v>
                </c:pt>
                <c:pt idx="45">
                  <c:v>4.8773422703030427</c:v>
                </c:pt>
                <c:pt idx="46">
                  <c:v>4.8449510811490102</c:v>
                </c:pt>
                <c:pt idx="47">
                  <c:v>4.8107797116220645</c:v>
                </c:pt>
                <c:pt idx="48">
                  <c:v>4.7758599360396472</c:v>
                </c:pt>
                <c:pt idx="49">
                  <c:v>4.7402596189600086</c:v>
                </c:pt>
                <c:pt idx="50">
                  <c:v>4.7038803774096491</c:v>
                </c:pt>
                <c:pt idx="51">
                  <c:v>4.6668548842236222</c:v>
                </c:pt>
                <c:pt idx="52">
                  <c:v>4.6294261253392879</c:v>
                </c:pt>
                <c:pt idx="53">
                  <c:v>4.5916180553528179</c:v>
                </c:pt>
                <c:pt idx="54">
                  <c:v>4.5532836369594056</c:v>
                </c:pt>
                <c:pt idx="55">
                  <c:v>4.5146039331690329</c:v>
                </c:pt>
                <c:pt idx="56">
                  <c:v>4.4756426692654028</c:v>
                </c:pt>
                <c:pt idx="57">
                  <c:v>4.4364093909846751</c:v>
                </c:pt>
                <c:pt idx="58">
                  <c:v>4.3967588931211603</c:v>
                </c:pt>
                <c:pt idx="59">
                  <c:v>4.3568003605830521</c:v>
                </c:pt>
                <c:pt idx="60">
                  <c:v>4.3165479642218303</c:v>
                </c:pt>
                <c:pt idx="61">
                  <c:v>4.2759860555033491</c:v>
                </c:pt>
                <c:pt idx="62">
                  <c:v>4.2349808666916724</c:v>
                </c:pt>
                <c:pt idx="63">
                  <c:v>4.1935062266045788</c:v>
                </c:pt>
                <c:pt idx="64">
                  <c:v>4.1515218226544439</c:v>
                </c:pt>
                <c:pt idx="65">
                  <c:v>4.1090228404817699</c:v>
                </c:pt>
                <c:pt idx="66">
                  <c:v>4.0659256191923179</c:v>
                </c:pt>
                <c:pt idx="67">
                  <c:v>4.0218072749843143</c:v>
                </c:pt>
                <c:pt idx="68">
                  <c:v>3.9762716067645019</c:v>
                </c:pt>
                <c:pt idx="69">
                  <c:v>3.9353383818735566</c:v>
                </c:pt>
                <c:pt idx="70">
                  <c:v>3.8883223146689256</c:v>
                </c:pt>
                <c:pt idx="71">
                  <c:v>3.8362393740228491</c:v>
                </c:pt>
                <c:pt idx="72">
                  <c:v>3.7832666918119062</c:v>
                </c:pt>
                <c:pt idx="73">
                  <c:v>3.7293934889591953</c:v>
                </c:pt>
                <c:pt idx="74">
                  <c:v>3.6748013161186197</c:v>
                </c:pt>
                <c:pt idx="75">
                  <c:v>3.6195616324629896</c:v>
                </c:pt>
                <c:pt idx="76">
                  <c:v>3.5640763353627878</c:v>
                </c:pt>
                <c:pt idx="77">
                  <c:v>3.5088446973880929</c:v>
                </c:pt>
                <c:pt idx="78">
                  <c:v>3.4534135627582305</c:v>
                </c:pt>
                <c:pt idx="79">
                  <c:v>3.3925606352501596</c:v>
                </c:pt>
                <c:pt idx="80">
                  <c:v>3.3308053307720651</c:v>
                </c:pt>
                <c:pt idx="81">
                  <c:v>3.2725386991839276</c:v>
                </c:pt>
                <c:pt idx="82">
                  <c:v>3.2158159508412596</c:v>
                </c:pt>
                <c:pt idx="83">
                  <c:v>3.1616193689110412</c:v>
                </c:pt>
                <c:pt idx="84">
                  <c:v>3.1083706491648173</c:v>
                </c:pt>
                <c:pt idx="85">
                  <c:v>3.0550754116737817</c:v>
                </c:pt>
                <c:pt idx="86">
                  <c:v>3.0013211924776981</c:v>
                </c:pt>
                <c:pt idx="87">
                  <c:v>2.9467334928872431</c:v>
                </c:pt>
                <c:pt idx="88">
                  <c:v>2.8913515220325752</c:v>
                </c:pt>
                <c:pt idx="89">
                  <c:v>2.8349817909633259</c:v>
                </c:pt>
                <c:pt idx="90">
                  <c:v>2.7772095592950587</c:v>
                </c:pt>
                <c:pt idx="91">
                  <c:v>2.717793229587147</c:v>
                </c:pt>
                <c:pt idx="92">
                  <c:v>2.6561996923310986</c:v>
                </c:pt>
                <c:pt idx="93">
                  <c:v>2.5911949208266019</c:v>
                </c:pt>
                <c:pt idx="94">
                  <c:v>2.5305763301786026</c:v>
                </c:pt>
                <c:pt idx="95">
                  <c:v>2.4416983819832745</c:v>
                </c:pt>
                <c:pt idx="96">
                  <c:v>2.3478227952775934</c:v>
                </c:pt>
                <c:pt idx="97">
                  <c:v>2.2503681063098528</c:v>
                </c:pt>
                <c:pt idx="98">
                  <c:v>2.151158972416876</c:v>
                </c:pt>
                <c:pt idx="99">
                  <c:v>2.0503168475558957</c:v>
                </c:pt>
                <c:pt idx="100">
                  <c:v>1.9479829604159471</c:v>
                </c:pt>
                <c:pt idx="101">
                  <c:v>1.8436938750526275</c:v>
                </c:pt>
                <c:pt idx="102">
                  <c:v>1.7371063432550622</c:v>
                </c:pt>
                <c:pt idx="103">
                  <c:v>1.6267933241306807</c:v>
                </c:pt>
                <c:pt idx="104">
                  <c:v>1.509852196150411</c:v>
                </c:pt>
                <c:pt idx="105">
                  <c:v>1.383840619994829</c:v>
                </c:pt>
                <c:pt idx="106">
                  <c:v>1.2423529040039742</c:v>
                </c:pt>
                <c:pt idx="107">
                  <c:v>1.0685481766688711</c:v>
                </c:pt>
                <c:pt idx="108">
                  <c:v>0.8192041707226263</c:v>
                </c:pt>
                <c:pt idx="109">
                  <c:v>0.19351942307033379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E-4502-B7B0-70DABA88E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40752"/>
        <c:axId val="1213449872"/>
      </c:scatterChart>
      <c:valAx>
        <c:axId val="12134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9872"/>
        <c:crosses val="autoZero"/>
        <c:crossBetween val="midCat"/>
      </c:valAx>
      <c:valAx>
        <c:axId val="121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075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揚力分布だよ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楕円分布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低速時揚力分布!$A$4:$A$181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低速時揚力分布!$C$4:$C$181</c:f>
              <c:numCache>
                <c:formatCode>General</c:formatCode>
                <c:ptCount val="178"/>
                <c:pt idx="0">
                  <c:v>5.2564935333103051</c:v>
                </c:pt>
                <c:pt idx="1">
                  <c:v>5.2562723143832324</c:v>
                </c:pt>
                <c:pt idx="2">
                  <c:v>5.2556086017327699</c:v>
                </c:pt>
                <c:pt idx="3">
                  <c:v>5.2545022276806117</c:v>
                </c:pt>
                <c:pt idx="4">
                  <c:v>5.252952912527463</c:v>
                </c:pt>
                <c:pt idx="5">
                  <c:v>5.250960264199132</c:v>
                </c:pt>
                <c:pt idx="6">
                  <c:v>5.2485237777495968</c:v>
                </c:pt>
                <c:pt idx="7">
                  <c:v>5.2456428347195718</c:v>
                </c:pt>
                <c:pt idx="8">
                  <c:v>5.242316702348675</c:v>
                </c:pt>
                <c:pt idx="9">
                  <c:v>5.2385445326388327</c:v>
                </c:pt>
                <c:pt idx="10">
                  <c:v>5.2343253612661229</c:v>
                </c:pt>
                <c:pt idx="11">
                  <c:v>5.2296581063377818</c:v>
                </c:pt>
                <c:pt idx="12">
                  <c:v>5.2245415669905837</c:v>
                </c:pt>
                <c:pt idx="13">
                  <c:v>5.2189744218263421</c:v>
                </c:pt>
                <c:pt idx="14">
                  <c:v>5.2129552271796831</c:v>
                </c:pt>
                <c:pt idx="15">
                  <c:v>5.2064824152127489</c:v>
                </c:pt>
                <c:pt idx="16">
                  <c:v>5.199554291830828</c:v>
                </c:pt>
                <c:pt idx="17">
                  <c:v>5.192169034412343</c:v>
                </c:pt>
                <c:pt idx="18">
                  <c:v>5.1843246893459174</c:v>
                </c:pt>
                <c:pt idx="19">
                  <c:v>5.17601916936656</c:v>
                </c:pt>
                <c:pt idx="20">
                  <c:v>5.1672502506822484</c:v>
                </c:pt>
                <c:pt idx="21">
                  <c:v>5.1580155698813703</c:v>
                </c:pt>
                <c:pt idx="22">
                  <c:v>5.1483126206106338</c:v>
                </c:pt>
                <c:pt idx="23">
                  <c:v>5.1381387500121116</c:v>
                </c:pt>
                <c:pt idx="24">
                  <c:v>5.1274911549071005</c:v>
                </c:pt>
                <c:pt idx="25">
                  <c:v>5.1163668777133529</c:v>
                </c:pt>
                <c:pt idx="26">
                  <c:v>5.1047628020811331</c:v>
                </c:pt>
                <c:pt idx="27">
                  <c:v>5.0926756482322117</c:v>
                </c:pt>
                <c:pt idx="28">
                  <c:v>5.0801019679845751</c:v>
                </c:pt>
                <c:pt idx="29">
                  <c:v>5.0670381394441213</c:v>
                </c:pt>
                <c:pt idx="30">
                  <c:v>5.0534803613429755</c:v>
                </c:pt>
                <c:pt idx="31">
                  <c:v>5.0394246470022903</c:v>
                </c:pt>
                <c:pt idx="32">
                  <c:v>5.0248668178954139</c:v>
                </c:pt>
                <c:pt idx="33">
                  <c:v>5.0098024967852597</c:v>
                </c:pt>
                <c:pt idx="34">
                  <c:v>4.9942271004072767</c:v>
                </c:pt>
                <c:pt idx="35">
                  <c:v>4.9781358316669442</c:v>
                </c:pt>
                <c:pt idx="36">
                  <c:v>4.9615236713178561</c:v>
                </c:pt>
                <c:pt idx="37">
                  <c:v>4.9443853690833723</c:v>
                </c:pt>
                <c:pt idx="38">
                  <c:v>4.9267154341813999</c:v>
                </c:pt>
                <c:pt idx="39">
                  <c:v>4.9085081252081002</c:v>
                </c:pt>
                <c:pt idx="40">
                  <c:v>4.8897574393321266</c:v>
                </c:pt>
                <c:pt idx="41">
                  <c:v>4.8704571007463988</c:v>
                </c:pt>
                <c:pt idx="42">
                  <c:v>4.8506005483192887</c:v>
                </c:pt>
                <c:pt idx="43">
                  <c:v>4.8301809223813708</c:v>
                </c:pt>
                <c:pt idx="44">
                  <c:v>4.8091910505776072</c:v>
                </c:pt>
                <c:pt idx="45">
                  <c:v>4.7876234327076883</c:v>
                </c:pt>
                <c:pt idx="46">
                  <c:v>4.765470224469456</c:v>
                </c:pt>
                <c:pt idx="47">
                  <c:v>4.7427232200114089</c:v>
                </c:pt>
                <c:pt idx="48">
                  <c:v>4.7193738331904829</c:v>
                </c:pt>
                <c:pt idx="49">
                  <c:v>4.6954130774201213</c:v>
                </c:pt>
                <c:pt idx="50">
                  <c:v>4.6708315439812171</c:v>
                </c:pt>
                <c:pt idx="51">
                  <c:v>4.645619378654394</c:v>
                </c:pt>
                <c:pt idx="52">
                  <c:v>4.6197662565162041</c:v>
                </c:pt>
                <c:pt idx="53">
                  <c:v>4.5932613547238361</c:v>
                </c:pt>
                <c:pt idx="54">
                  <c:v>4.5660933230925504</c:v>
                </c:pt>
                <c:pt idx="55">
                  <c:v>4.53825025224684</c:v>
                </c:pt>
                <c:pt idx="56">
                  <c:v>4.5097196390999592</c:v>
                </c:pt>
                <c:pt idx="57">
                  <c:v>4.4804883493863059</c:v>
                </c:pt>
                <c:pt idx="58">
                  <c:v>4.450542576936682</c:v>
                </c:pt>
                <c:pt idx="59">
                  <c:v>4.4198677993468536</c:v>
                </c:pt>
                <c:pt idx="60">
                  <c:v>4.3884487296443835</c:v>
                </c:pt>
                <c:pt idx="61">
                  <c:v>4.3562692635061966</c:v>
                </c:pt>
                <c:pt idx="62">
                  <c:v>4.3233124215186498</c:v>
                </c:pt>
                <c:pt idx="63">
                  <c:v>4.2895602859014934</c:v>
                </c:pt>
                <c:pt idx="64">
                  <c:v>4.2549939310351963</c:v>
                </c:pt>
                <c:pt idx="65">
                  <c:v>4.219593347035544</c:v>
                </c:pt>
                <c:pt idx="66">
                  <c:v>4.1833373555074553</c:v>
                </c:pt>
                <c:pt idx="67">
                  <c:v>4.1462035164785158</c:v>
                </c:pt>
                <c:pt idx="68">
                  <c:v>4.1081680253576192</c:v>
                </c:pt>
                <c:pt idx="69">
                  <c:v>4.069205598580619</c:v>
                </c:pt>
                <c:pt idx="70">
                  <c:v>4.0292893463868031</c:v>
                </c:pt>
                <c:pt idx="71">
                  <c:v>3.9883906309098842</c:v>
                </c:pt>
                <c:pt idx="72">
                  <c:v>3.9464789074554187</c:v>
                </c:pt>
                <c:pt idx="73">
                  <c:v>3.9035215464614117</c:v>
                </c:pt>
                <c:pt idx="74">
                  <c:v>3.859483633185103</c:v>
                </c:pt>
                <c:pt idx="75">
                  <c:v>3.8143277416074373</c:v>
                </c:pt>
                <c:pt idx="76">
                  <c:v>3.7680136783729585</c:v>
                </c:pt>
                <c:pt idx="77">
                  <c:v>3.7204981917550435</c:v>
                </c:pt>
                <c:pt idx="78">
                  <c:v>3.6717346396133523</c:v>
                </c:pt>
                <c:pt idx="79">
                  <c:v>3.6216726090382414</c:v>
                </c:pt>
                <c:pt idx="80">
                  <c:v>3.5702574787844554</c:v>
                </c:pt>
                <c:pt idx="81">
                  <c:v>3.5174299135891856</c:v>
                </c:pt>
                <c:pt idx="82">
                  <c:v>3.4631252769203895</c:v>
                </c:pt>
                <c:pt idx="83">
                  <c:v>3.4072729454381907</c:v>
                </c:pt>
                <c:pt idx="84">
                  <c:v>3.3497955042393817</c:v>
                </c:pt>
                <c:pt idx="85">
                  <c:v>3.2906077964666212</c:v>
                </c:pt>
                <c:pt idx="86">
                  <c:v>3.2296157936430565</c:v>
                </c:pt>
                <c:pt idx="87">
                  <c:v>3.1667152434924803</c:v>
                </c:pt>
                <c:pt idx="88">
                  <c:v>3.1017900390941713</c:v>
                </c:pt>
                <c:pt idx="89">
                  <c:v>3.0347102356431357</c:v>
                </c:pt>
                <c:pt idx="90">
                  <c:v>2.9653296168297767</c:v>
                </c:pt>
                <c:pt idx="91">
                  <c:v>2.8934826788864068</c:v>
                </c:pt>
                <c:pt idx="92">
                  <c:v>2.8189808520138433</c:v>
                </c:pt>
                <c:pt idx="93">
                  <c:v>2.7416077088932589</c:v>
                </c:pt>
                <c:pt idx="94">
                  <c:v>2.6611128065796845</c:v>
                </c:pt>
                <c:pt idx="95">
                  <c:v>2.5772036519567258</c:v>
                </c:pt>
                <c:pt idx="96">
                  <c:v>2.4895350394025342</c:v>
                </c:pt>
                <c:pt idx="97">
                  <c:v>2.3976946251772939</c:v>
                </c:pt>
                <c:pt idx="98">
                  <c:v>2.3011829725670232</c:v>
                </c:pt>
                <c:pt idx="99">
                  <c:v>2.1993852289442004</c:v>
                </c:pt>
                <c:pt idx="100">
                  <c:v>2.0915296918286099</c:v>
                </c:pt>
                <c:pt idx="101">
                  <c:v>1.9766249701803928</c:v>
                </c:pt>
                <c:pt idx="102">
                  <c:v>1.8533604204573408</c:v>
                </c:pt>
                <c:pt idx="103">
                  <c:v>1.7199395855471777</c:v>
                </c:pt>
                <c:pt idx="104">
                  <c:v>1.5737815166610005</c:v>
                </c:pt>
                <c:pt idx="105">
                  <c:v>1.4109334147551436</c:v>
                </c:pt>
                <c:pt idx="106">
                  <c:v>1.2247557691224149</c:v>
                </c:pt>
                <c:pt idx="107">
                  <c:v>1.0023318021303524</c:v>
                </c:pt>
                <c:pt idx="108">
                  <c:v>0.71039435777765925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D-4418-A074-D9B3217310A1}"/>
            </c:ext>
          </c:extLst>
        </c:ser>
        <c:ser>
          <c:idx val="1"/>
          <c:order val="1"/>
          <c:tx>
            <c:v>局所揚力分布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低速時揚力分布!$A$4:$A$181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低速時揚力分布!$I$4:$I$181</c:f>
              <c:numCache>
                <c:formatCode>General</c:formatCode>
                <c:ptCount val="178"/>
                <c:pt idx="0">
                  <c:v>5.5746754692922451</c:v>
                </c:pt>
                <c:pt idx="1">
                  <c:v>5.5746269851670824</c:v>
                </c:pt>
                <c:pt idx="2">
                  <c:v>5.5744083404414564</c:v>
                </c:pt>
                <c:pt idx="3">
                  <c:v>5.5740402238794626</c:v>
                </c:pt>
                <c:pt idx="4">
                  <c:v>5.5735703768683349</c:v>
                </c:pt>
                <c:pt idx="5">
                  <c:v>5.5728845378757796</c:v>
                </c:pt>
                <c:pt idx="6">
                  <c:v>5.5720522506501231</c:v>
                </c:pt>
                <c:pt idx="7">
                  <c:v>5.5711021302726795</c:v>
                </c:pt>
                <c:pt idx="8">
                  <c:v>5.5698416890610778</c:v>
                </c:pt>
                <c:pt idx="9">
                  <c:v>5.568418174590672</c:v>
                </c:pt>
                <c:pt idx="10">
                  <c:v>5.5667936969004721</c:v>
                </c:pt>
                <c:pt idx="11">
                  <c:v>5.5647379735339326</c:v>
                </c:pt>
                <c:pt idx="12">
                  <c:v>5.5624109328255056</c:v>
                </c:pt>
                <c:pt idx="13">
                  <c:v>5.5597805300901371</c:v>
                </c:pt>
                <c:pt idx="14">
                  <c:v>5.5564730366867705</c:v>
                </c:pt>
                <c:pt idx="15">
                  <c:v>5.5544757691956486</c:v>
                </c:pt>
                <c:pt idx="16">
                  <c:v>5.5472432095496069</c:v>
                </c:pt>
                <c:pt idx="17">
                  <c:v>5.5306505372965313</c:v>
                </c:pt>
                <c:pt idx="18">
                  <c:v>5.514106064767188</c:v>
                </c:pt>
                <c:pt idx="19">
                  <c:v>5.4970818694467214</c:v>
                </c:pt>
                <c:pt idx="20">
                  <c:v>5.4796903689801439</c:v>
                </c:pt>
                <c:pt idx="21">
                  <c:v>5.4620458830230385</c:v>
                </c:pt>
                <c:pt idx="22">
                  <c:v>5.4440242085867725</c:v>
                </c:pt>
                <c:pt idx="23">
                  <c:v>5.4257702561132426</c:v>
                </c:pt>
                <c:pt idx="24">
                  <c:v>5.4073322279540683</c:v>
                </c:pt>
                <c:pt idx="25">
                  <c:v>5.3885837869114459</c:v>
                </c:pt>
                <c:pt idx="26">
                  <c:v>5.3696400363903551</c:v>
                </c:pt>
                <c:pt idx="27">
                  <c:v>5.3505263499908935</c:v>
                </c:pt>
                <c:pt idx="28">
                  <c:v>5.3310995565609458</c:v>
                </c:pt>
                <c:pt idx="29">
                  <c:v>5.3114642917694601</c:v>
                </c:pt>
                <c:pt idx="30">
                  <c:v>5.2916372651745665</c:v>
                </c:pt>
                <c:pt idx="31">
                  <c:v>5.271435553228895</c:v>
                </c:pt>
                <c:pt idx="32">
                  <c:v>5.2509535438988477</c:v>
                </c:pt>
                <c:pt idx="33">
                  <c:v>5.2302086039651989</c:v>
                </c:pt>
                <c:pt idx="34">
                  <c:v>5.2089376641872631</c:v>
                </c:pt>
                <c:pt idx="35">
                  <c:v>5.1871961077455806</c:v>
                </c:pt>
                <c:pt idx="36">
                  <c:v>5.1652730952040002</c:v>
                </c:pt>
                <c:pt idx="37">
                  <c:v>5.1425488424731967</c:v>
                </c:pt>
                <c:pt idx="38">
                  <c:v>5.1188098589311757</c:v>
                </c:pt>
                <c:pt idx="39">
                  <c:v>5.0937397045459898</c:v>
                </c:pt>
                <c:pt idx="40">
                  <c:v>5.0652505518205739</c:v>
                </c:pt>
                <c:pt idx="41">
                  <c:v>5.0296751413695695</c:v>
                </c:pt>
                <c:pt idx="42">
                  <c:v>5.0271742603861185</c:v>
                </c:pt>
                <c:pt idx="43">
                  <c:v>4.8358989270926394</c:v>
                </c:pt>
                <c:pt idx="44">
                  <c:v>4.802934515116406</c:v>
                </c:pt>
                <c:pt idx="45">
                  <c:v>4.7537732599521316</c:v>
                </c:pt>
                <c:pt idx="46">
                  <c:v>4.7078364113984428</c:v>
                </c:pt>
                <c:pt idx="47">
                  <c:v>4.6633672445198862</c:v>
                </c:pt>
                <c:pt idx="48">
                  <c:v>4.6197931449545733</c:v>
                </c:pt>
                <c:pt idx="49">
                  <c:v>4.5769244081348619</c:v>
                </c:pt>
                <c:pt idx="50">
                  <c:v>4.5344894415354169</c:v>
                </c:pt>
                <c:pt idx="51">
                  <c:v>4.4925029164060666</c:v>
                </c:pt>
                <c:pt idx="52">
                  <c:v>4.4508685719894618</c:v>
                </c:pt>
                <c:pt idx="53">
                  <c:v>4.4094902717111335</c:v>
                </c:pt>
                <c:pt idx="54">
                  <c:v>4.3683656578251711</c:v>
                </c:pt>
                <c:pt idx="55">
                  <c:v>4.3273912449110501</c:v>
                </c:pt>
                <c:pt idx="56">
                  <c:v>4.2865873954769684</c:v>
                </c:pt>
                <c:pt idx="57">
                  <c:v>4.2459599039442661</c:v>
                </c:pt>
                <c:pt idx="58">
                  <c:v>4.2054252016918374</c:v>
                </c:pt>
                <c:pt idx="59">
                  <c:v>4.164962431289303</c:v>
                </c:pt>
                <c:pt idx="60">
                  <c:v>4.1244577075997517</c:v>
                </c:pt>
                <c:pt idx="61">
                  <c:v>4.0840637404750186</c:v>
                </c:pt>
                <c:pt idx="62">
                  <c:v>4.0437607668715208</c:v>
                </c:pt>
                <c:pt idx="63">
                  <c:v>4.0035109843473933</c:v>
                </c:pt>
                <c:pt idx="64">
                  <c:v>3.9633352294513813</c:v>
                </c:pt>
                <c:pt idx="65">
                  <c:v>3.9231380128101714</c:v>
                </c:pt>
                <c:pt idx="66">
                  <c:v>3.8826383151845549</c:v>
                </c:pt>
                <c:pt idx="67">
                  <c:v>3.8419682221847609</c:v>
                </c:pt>
                <c:pt idx="68">
                  <c:v>3.8009819432545124</c:v>
                </c:pt>
                <c:pt idx="69">
                  <c:v>3.761413344945165</c:v>
                </c:pt>
                <c:pt idx="70">
                  <c:v>3.7184642015667557</c:v>
                </c:pt>
                <c:pt idx="71">
                  <c:v>3.6758634122457061</c:v>
                </c:pt>
                <c:pt idx="72">
                  <c:v>3.6321794022662637</c:v>
                </c:pt>
                <c:pt idx="73">
                  <c:v>3.5882696628944895</c:v>
                </c:pt>
                <c:pt idx="74">
                  <c:v>3.5442512152142189</c:v>
                </c:pt>
                <c:pt idx="75">
                  <c:v>3.5003324864962191</c:v>
                </c:pt>
                <c:pt idx="76">
                  <c:v>3.4565073033599987</c:v>
                </c:pt>
                <c:pt idx="77">
                  <c:v>3.4126309795930534</c:v>
                </c:pt>
                <c:pt idx="78">
                  <c:v>3.3690310456616857</c:v>
                </c:pt>
                <c:pt idx="79">
                  <c:v>3.3257086431575931</c:v>
                </c:pt>
                <c:pt idx="80">
                  <c:v>3.2826134592855087</c:v>
                </c:pt>
                <c:pt idx="81">
                  <c:v>3.2397060589256661</c:v>
                </c:pt>
                <c:pt idx="82">
                  <c:v>3.1969187435112634</c:v>
                </c:pt>
                <c:pt idx="83">
                  <c:v>3.1541726356046715</c:v>
                </c:pt>
                <c:pt idx="84">
                  <c:v>3.1114631349441271</c:v>
                </c:pt>
                <c:pt idx="85">
                  <c:v>3.0689113895160052</c:v>
                </c:pt>
                <c:pt idx="86">
                  <c:v>3.0263823615740097</c:v>
                </c:pt>
                <c:pt idx="87">
                  <c:v>2.9837661047416852</c:v>
                </c:pt>
                <c:pt idx="88">
                  <c:v>2.9409634977087737</c:v>
                </c:pt>
                <c:pt idx="89">
                  <c:v>2.8976826027500842</c:v>
                </c:pt>
                <c:pt idx="90">
                  <c:v>2.8551895169875725</c:v>
                </c:pt>
                <c:pt idx="91">
                  <c:v>2.8066808935129561</c:v>
                </c:pt>
                <c:pt idx="92">
                  <c:v>2.7490328142735581</c:v>
                </c:pt>
                <c:pt idx="93">
                  <c:v>2.6871198729673633</c:v>
                </c:pt>
                <c:pt idx="94">
                  <c:v>2.6264686484013273</c:v>
                </c:pt>
                <c:pt idx="95">
                  <c:v>2.5574823497534025</c:v>
                </c:pt>
                <c:pt idx="96">
                  <c:v>2.4807464544681257</c:v>
                </c:pt>
                <c:pt idx="97">
                  <c:v>2.4003098613193612</c:v>
                </c:pt>
                <c:pt idx="98">
                  <c:v>2.317824499066985</c:v>
                </c:pt>
                <c:pt idx="99">
                  <c:v>2.2332895710502774</c:v>
                </c:pt>
                <c:pt idx="100">
                  <c:v>2.1467928807831167</c:v>
                </c:pt>
                <c:pt idx="101">
                  <c:v>2.057787301793883</c:v>
                </c:pt>
                <c:pt idx="102">
                  <c:v>1.966015791571033</c:v>
                </c:pt>
                <c:pt idx="103">
                  <c:v>1.8645956283452325</c:v>
                </c:pt>
                <c:pt idx="104">
                  <c:v>1.7526351382126018</c:v>
                </c:pt>
                <c:pt idx="105">
                  <c:v>1.6242485383880974</c:v>
                </c:pt>
                <c:pt idx="106">
                  <c:v>1.4694754458605932</c:v>
                </c:pt>
                <c:pt idx="107">
                  <c:v>1.260946261747609</c:v>
                </c:pt>
                <c:pt idx="108">
                  <c:v>1.2044135831539684</c:v>
                </c:pt>
                <c:pt idx="109">
                  <c:v>1.1530062007826403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D-4418-A074-D9B32173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40752"/>
        <c:axId val="1213449872"/>
      </c:scatterChart>
      <c:valAx>
        <c:axId val="12134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9872"/>
        <c:crosses val="autoZero"/>
        <c:crossBetween val="midCat"/>
      </c:valAx>
      <c:valAx>
        <c:axId val="121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075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460372</xdr:colOff>
      <xdr:row>4</xdr:row>
      <xdr:rowOff>154215</xdr:rowOff>
    </xdr:from>
    <xdr:to>
      <xdr:col>14</xdr:col>
      <xdr:colOff>276677</xdr:colOff>
      <xdr:row>17</xdr:row>
      <xdr:rowOff>199117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281628</xdr:colOff>
      <xdr:row>1</xdr:row>
      <xdr:rowOff>210956</xdr:rowOff>
    </xdr:from>
    <xdr:to>
      <xdr:col>38</xdr:col>
      <xdr:colOff>0</xdr:colOff>
      <xdr:row>8</xdr:row>
      <xdr:rowOff>138206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281628</xdr:colOff>
      <xdr:row>1</xdr:row>
      <xdr:rowOff>210956</xdr:rowOff>
    </xdr:from>
    <xdr:to>
      <xdr:col>38</xdr:col>
      <xdr:colOff>0</xdr:colOff>
      <xdr:row>8</xdr:row>
      <xdr:rowOff>138206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276689</xdr:colOff>
      <xdr:row>1</xdr:row>
      <xdr:rowOff>40820</xdr:rowOff>
    </xdr:from>
    <xdr:to>
      <xdr:col>24</xdr:col>
      <xdr:colOff>489857</xdr:colOff>
      <xdr:row>15</xdr:row>
      <xdr:rowOff>204106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276689</xdr:colOff>
      <xdr:row>1</xdr:row>
      <xdr:rowOff>40820</xdr:rowOff>
    </xdr:from>
    <xdr:to>
      <xdr:col>24</xdr:col>
      <xdr:colOff>489857</xdr:colOff>
      <xdr:row>15</xdr:row>
      <xdr:rowOff>204106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youtube.com/playlist?list=PLtl5ylS6jdP6uOxzSJKPnUsvMbkmalfKg&amp;si=yGcgfqDeptw4trV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youtube.com/playlist?list=PLtl5ylS6jdP6uOxzSJKPnUsvMbkmalfKg&amp;si=yGcgfqDeptw4trV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O36"/>
  <sheetViews>
    <sheetView tabSelected="1" zoomScale="70" zoomScaleNormal="70" workbookViewId="0">
      <selection activeCell="D11" sqref="D11"/>
    </sheetView>
  </sheetViews>
  <sheetFormatPr defaultRowHeight="18" x14ac:dyDescent="1.1000000000000001"/>
  <cols>
    <col min="2" max="2" width="12.5390625" style="8" customWidth="1"/>
    <col min="3" max="3" width="13.7890625" style="8" customWidth="1"/>
    <col min="4" max="5" width="13" style="8" customWidth="1"/>
    <col min="6" max="6" width="12.5" style="8" customWidth="1"/>
    <col min="7" max="7" width="11.25" style="8" customWidth="1"/>
    <col min="8" max="8" width="21.6640625" style="8" customWidth="1"/>
    <col min="9" max="9" width="7.9140625" style="8" customWidth="1"/>
  </cols>
  <sheetData>
    <row r="1" spans="2:15" x14ac:dyDescent="1.1000000000000001">
      <c r="H1"/>
      <c r="I1"/>
    </row>
    <row r="2" spans="2:15" ht="24.75" customHeight="1" x14ac:dyDescent="1.1000000000000001">
      <c r="B2" s="2" t="s">
        <v>0</v>
      </c>
      <c r="C2" s="18">
        <v>2</v>
      </c>
      <c r="E2" s="22" t="s">
        <v>1</v>
      </c>
      <c r="F2" s="2" t="s">
        <v>2</v>
      </c>
      <c r="G2" s="4">
        <v>0</v>
      </c>
      <c r="H2" s="1" t="s">
        <v>3</v>
      </c>
      <c r="I2" s="4">
        <v>10</v>
      </c>
      <c r="J2" s="25"/>
      <c r="N2" s="28" t="s">
        <v>4</v>
      </c>
      <c r="O2" s="4">
        <v>0.1</v>
      </c>
    </row>
    <row r="3" spans="2:15" x14ac:dyDescent="1.1000000000000001">
      <c r="B3" s="26" t="s">
        <v>5</v>
      </c>
      <c r="C3" s="27"/>
      <c r="E3" s="21"/>
      <c r="F3" s="2" t="s">
        <v>6</v>
      </c>
      <c r="G3" s="4">
        <v>8</v>
      </c>
      <c r="H3" s="1" t="s">
        <v>3</v>
      </c>
      <c r="I3" s="4">
        <v>14</v>
      </c>
      <c r="J3" s="24"/>
      <c r="N3" s="29"/>
      <c r="O3" s="4">
        <v>0.5</v>
      </c>
    </row>
    <row r="4" spans="2:15" x14ac:dyDescent="1.1000000000000001">
      <c r="H4"/>
      <c r="I4"/>
    </row>
    <row r="5" spans="2:15" x14ac:dyDescent="1.1000000000000001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</row>
    <row r="6" spans="2:15" x14ac:dyDescent="1.1000000000000001">
      <c r="B6"/>
      <c r="C6"/>
      <c r="D6"/>
      <c r="E6"/>
      <c r="F6" s="23" t="e">
        <f>BASE!$F$9^2/(E6*PI()*BASE!$N$8/2*BASE!$F$4*BASE!$Q$13*2*B6^2)</f>
        <v>#DIV/0!</v>
      </c>
      <c r="G6" s="23" t="e">
        <f t="shared" ref="G6:G36" si="0">F6+D6</f>
        <v>#DIV/0!</v>
      </c>
      <c r="H6" s="23" t="e">
        <f>(G6+BASE!$I$4+BASE!$I$5+BASE!$I$6)</f>
        <v>#DIV/0!</v>
      </c>
      <c r="I6" s="23" t="e">
        <f>H6*B6/BASE!$I$7/BASE!$I$8</f>
        <v>#DIV/0!</v>
      </c>
    </row>
    <row r="7" spans="2:15" x14ac:dyDescent="1.1000000000000001">
      <c r="B7"/>
      <c r="C7"/>
      <c r="D7"/>
      <c r="E7"/>
      <c r="F7" s="23" t="e">
        <f>BASE!$F$9^2/(E7*PI()*BASE!$N$8/2*BASE!$F$4*BASE!$Q$13*2*B7^2)</f>
        <v>#DIV/0!</v>
      </c>
      <c r="G7" s="23" t="e">
        <f t="shared" si="0"/>
        <v>#DIV/0!</v>
      </c>
      <c r="H7" s="23" t="e">
        <f>(G7+BASE!$I$4+BASE!$I$5+BASE!$I$6)</f>
        <v>#DIV/0!</v>
      </c>
      <c r="I7" s="23" t="e">
        <f>H7*B7/BASE!$I$7/BASE!$I$8</f>
        <v>#DIV/0!</v>
      </c>
    </row>
    <row r="8" spans="2:15" x14ac:dyDescent="1.1000000000000001">
      <c r="B8"/>
      <c r="C8"/>
      <c r="D8"/>
      <c r="E8"/>
      <c r="F8" s="23" t="e">
        <f>BASE!$F$9^2/(E8*PI()*BASE!$N$8/2*BASE!$F$4*BASE!$Q$13*2*B8^2)</f>
        <v>#DIV/0!</v>
      </c>
      <c r="G8" s="23" t="e">
        <f t="shared" si="0"/>
        <v>#DIV/0!</v>
      </c>
      <c r="H8" s="23" t="e">
        <f>(G8+BASE!$I$4+BASE!$I$5+BASE!$I$6)</f>
        <v>#DIV/0!</v>
      </c>
      <c r="I8" s="23" t="e">
        <f>H8*B8/BASE!$I$7/BASE!$I$8</f>
        <v>#DIV/0!</v>
      </c>
    </row>
    <row r="9" spans="2:15" x14ac:dyDescent="1.1000000000000001">
      <c r="B9"/>
      <c r="C9"/>
      <c r="D9"/>
      <c r="E9"/>
      <c r="F9" s="23" t="e">
        <f>BASE!$F$9^2/(E9*PI()*BASE!$N$8/2*BASE!$F$4*BASE!$Q$13*2*B9^2)</f>
        <v>#DIV/0!</v>
      </c>
      <c r="G9" s="23" t="e">
        <f t="shared" si="0"/>
        <v>#DIV/0!</v>
      </c>
      <c r="H9" s="23" t="e">
        <f>(G9+BASE!$I$4+BASE!$I$5+BASE!$I$6)</f>
        <v>#DIV/0!</v>
      </c>
      <c r="I9" s="23" t="e">
        <f>H9*B9/BASE!$I$7/BASE!$I$8</f>
        <v>#DIV/0!</v>
      </c>
    </row>
    <row r="10" spans="2:15" x14ac:dyDescent="1.1000000000000001">
      <c r="B10"/>
      <c r="C10"/>
      <c r="D10"/>
      <c r="E10"/>
      <c r="F10" s="23" t="e">
        <f>BASE!$F$9^2/(E10*PI()*BASE!$N$8/2*BASE!$F$4*BASE!$Q$13*2*B10^2)</f>
        <v>#DIV/0!</v>
      </c>
      <c r="G10" s="23" t="e">
        <f t="shared" si="0"/>
        <v>#DIV/0!</v>
      </c>
      <c r="H10" s="23" t="e">
        <f>(G10+BASE!$I$4+BASE!$I$5+BASE!$I$6)</f>
        <v>#DIV/0!</v>
      </c>
      <c r="I10" s="23" t="e">
        <f>H10*B10/BASE!$I$7/BASE!$I$8</f>
        <v>#DIV/0!</v>
      </c>
    </row>
    <row r="11" spans="2:15" x14ac:dyDescent="1.1000000000000001">
      <c r="B11"/>
      <c r="C11"/>
      <c r="D11"/>
      <c r="E11"/>
      <c r="F11" s="23" t="e">
        <f>BASE!$F$9^2/(E11*PI()*BASE!$N$8/2*BASE!$F$4*BASE!$Q$13*2*B11^2)</f>
        <v>#DIV/0!</v>
      </c>
      <c r="G11" s="23" t="e">
        <f t="shared" si="0"/>
        <v>#DIV/0!</v>
      </c>
      <c r="H11" s="23" t="e">
        <f>(G11+BASE!$I$4+BASE!$I$5+BASE!$I$6)</f>
        <v>#DIV/0!</v>
      </c>
      <c r="I11" s="23" t="e">
        <f>H11*B11/BASE!$I$7/BASE!$I$8</f>
        <v>#DIV/0!</v>
      </c>
    </row>
    <row r="12" spans="2:15" x14ac:dyDescent="1.1000000000000001">
      <c r="B12"/>
      <c r="C12"/>
      <c r="D12"/>
      <c r="E12"/>
      <c r="F12" s="23" t="e">
        <f>BASE!$F$9^2/(E12*PI()*BASE!$N$8/2*BASE!$F$4*BASE!$Q$13*2*B12^2)</f>
        <v>#DIV/0!</v>
      </c>
      <c r="G12" s="23" t="e">
        <f t="shared" si="0"/>
        <v>#DIV/0!</v>
      </c>
      <c r="H12" s="23" t="e">
        <f>(G12+BASE!$I$4+BASE!$I$5+BASE!$I$6)</f>
        <v>#DIV/0!</v>
      </c>
      <c r="I12" s="23" t="e">
        <f>H12*B12/BASE!$I$7/BASE!$I$8</f>
        <v>#DIV/0!</v>
      </c>
    </row>
    <row r="13" spans="2:15" x14ac:dyDescent="1.1000000000000001">
      <c r="B13"/>
      <c r="C13"/>
      <c r="D13"/>
      <c r="E13"/>
      <c r="F13" s="23" t="e">
        <f>BASE!$F$9^2/(E13*PI()*BASE!$N$8/2*BASE!$F$4*BASE!$Q$13*2*B13^2)</f>
        <v>#DIV/0!</v>
      </c>
      <c r="G13" s="23" t="e">
        <f t="shared" si="0"/>
        <v>#DIV/0!</v>
      </c>
      <c r="H13" s="23" t="e">
        <f>(G13+BASE!$I$4+BASE!$I$5+BASE!$I$6)</f>
        <v>#DIV/0!</v>
      </c>
      <c r="I13" s="23" t="e">
        <f>H13*B13/BASE!$I$7/BASE!$I$8</f>
        <v>#DIV/0!</v>
      </c>
    </row>
    <row r="14" spans="2:15" x14ac:dyDescent="1.1000000000000001">
      <c r="B14"/>
      <c r="C14"/>
      <c r="D14"/>
      <c r="E14"/>
      <c r="F14" s="23" t="e">
        <f>BASE!$F$9^2/(E14*PI()*BASE!$N$8/2*BASE!$F$4*BASE!$Q$13*2*B14^2)</f>
        <v>#DIV/0!</v>
      </c>
      <c r="G14" s="23" t="e">
        <f t="shared" si="0"/>
        <v>#DIV/0!</v>
      </c>
      <c r="H14" s="23" t="e">
        <f>(G14+BASE!$I$4+BASE!$I$5+BASE!$I$6)</f>
        <v>#DIV/0!</v>
      </c>
      <c r="I14" s="23" t="e">
        <f>H14*B14/BASE!$I$7/BASE!$I$8</f>
        <v>#DIV/0!</v>
      </c>
    </row>
    <row r="15" spans="2:15" x14ac:dyDescent="1.1000000000000001">
      <c r="B15"/>
      <c r="C15"/>
      <c r="D15"/>
      <c r="E15"/>
      <c r="F15" s="23" t="e">
        <f>BASE!$F$9^2/(E15*PI()*BASE!$N$8/2*BASE!$F$4*BASE!$Q$13*2*B15^2)</f>
        <v>#DIV/0!</v>
      </c>
      <c r="G15" s="23" t="e">
        <f t="shared" si="0"/>
        <v>#DIV/0!</v>
      </c>
      <c r="H15" s="23" t="e">
        <f>(G15+BASE!$I$4+BASE!$I$5+BASE!$I$6)</f>
        <v>#DIV/0!</v>
      </c>
      <c r="I15" s="23" t="e">
        <f>H15*B15/BASE!$I$7/BASE!$I$8</f>
        <v>#DIV/0!</v>
      </c>
    </row>
    <row r="16" spans="2:15" x14ac:dyDescent="1.1000000000000001">
      <c r="B16"/>
      <c r="C16"/>
      <c r="D16"/>
      <c r="E16"/>
      <c r="F16" s="23" t="e">
        <f>BASE!$F$9^2/(E16*PI()*BASE!$N$8/2*BASE!$F$4*BASE!$Q$13*2*B16^2)</f>
        <v>#DIV/0!</v>
      </c>
      <c r="G16" s="23" t="e">
        <f t="shared" si="0"/>
        <v>#DIV/0!</v>
      </c>
      <c r="H16" s="23" t="e">
        <f>(G16+BASE!$I$4+BASE!$I$5+BASE!$I$6)</f>
        <v>#DIV/0!</v>
      </c>
      <c r="I16" s="23" t="e">
        <f>H16*B16/BASE!$I$7/BASE!$I$8</f>
        <v>#DIV/0!</v>
      </c>
    </row>
    <row r="17" spans="2:9" x14ac:dyDescent="1.1000000000000001">
      <c r="B17"/>
      <c r="C17"/>
      <c r="D17"/>
      <c r="E17"/>
      <c r="F17" s="23" t="e">
        <f>BASE!$F$9^2/(E17*PI()*BASE!$N$8/2*BASE!$F$4*BASE!$Q$13*2*B17^2)</f>
        <v>#DIV/0!</v>
      </c>
      <c r="G17" s="23" t="e">
        <f t="shared" si="0"/>
        <v>#DIV/0!</v>
      </c>
      <c r="H17" s="23" t="e">
        <f>(G17+BASE!$I$4+BASE!$I$5+BASE!$I$6)</f>
        <v>#DIV/0!</v>
      </c>
      <c r="I17" s="23" t="e">
        <f>H17*B17/BASE!$I$7/BASE!$I$8</f>
        <v>#DIV/0!</v>
      </c>
    </row>
    <row r="18" spans="2:9" x14ac:dyDescent="1.1000000000000001">
      <c r="B18"/>
      <c r="C18"/>
      <c r="D18"/>
      <c r="E18"/>
      <c r="F18" s="23" t="e">
        <f>BASE!$F$9^2/(E18*PI()*BASE!$N$8/2*BASE!$F$4*BASE!$Q$13*2*B18^2)</f>
        <v>#DIV/0!</v>
      </c>
      <c r="G18" s="23" t="e">
        <f t="shared" si="0"/>
        <v>#DIV/0!</v>
      </c>
      <c r="H18" s="23" t="e">
        <f>(G18+BASE!$I$4+BASE!$I$5+BASE!$I$6)</f>
        <v>#DIV/0!</v>
      </c>
      <c r="I18" s="23" t="e">
        <f>H18*B18/BASE!$I$7/BASE!$I$8</f>
        <v>#DIV/0!</v>
      </c>
    </row>
    <row r="19" spans="2:9" x14ac:dyDescent="1.1000000000000001">
      <c r="B19"/>
      <c r="C19"/>
      <c r="D19"/>
      <c r="E19"/>
      <c r="F19" s="23" t="e">
        <f>BASE!$F$9^2/(E19*PI()*BASE!$N$8/2*BASE!$F$4*BASE!$Q$13*2*B19^2)</f>
        <v>#DIV/0!</v>
      </c>
      <c r="G19" s="23" t="e">
        <f t="shared" si="0"/>
        <v>#DIV/0!</v>
      </c>
      <c r="H19" s="23" t="e">
        <f>(G19+BASE!$I$4+BASE!$I$5+BASE!$I$6)</f>
        <v>#DIV/0!</v>
      </c>
      <c r="I19" s="23" t="e">
        <f>H19*B19/BASE!$I$7/BASE!$I$8</f>
        <v>#DIV/0!</v>
      </c>
    </row>
    <row r="20" spans="2:9" x14ac:dyDescent="1.1000000000000001">
      <c r="B20"/>
      <c r="C20"/>
      <c r="D20"/>
      <c r="E20"/>
      <c r="F20" s="23" t="e">
        <f>BASE!$F$9^2/(E20*PI()*BASE!$N$8/2*BASE!$F$4*BASE!$Q$13*2*B20^2)</f>
        <v>#DIV/0!</v>
      </c>
      <c r="G20" s="23" t="e">
        <f t="shared" si="0"/>
        <v>#DIV/0!</v>
      </c>
      <c r="H20" s="23" t="e">
        <f>(G20+BASE!$I$4+BASE!$I$5+BASE!$I$6)</f>
        <v>#DIV/0!</v>
      </c>
      <c r="I20" s="23" t="e">
        <f>H20*B20/BASE!$I$7/BASE!$I$8</f>
        <v>#DIV/0!</v>
      </c>
    </row>
    <row r="21" spans="2:9" x14ac:dyDescent="1.1000000000000001">
      <c r="B21"/>
      <c r="C21"/>
      <c r="D21"/>
      <c r="E21"/>
      <c r="F21" s="23" t="e">
        <f>BASE!$F$9^2/(E21*PI()*BASE!$N$8/2*BASE!$F$4*BASE!$Q$13*2*B21^2)</f>
        <v>#DIV/0!</v>
      </c>
      <c r="G21" s="23" t="e">
        <f t="shared" si="0"/>
        <v>#DIV/0!</v>
      </c>
      <c r="H21" s="23" t="e">
        <f>(G21+BASE!$I$4+BASE!$I$5+BASE!$I$6)</f>
        <v>#DIV/0!</v>
      </c>
      <c r="I21" s="23" t="e">
        <f>H21*B21/BASE!$I$7/BASE!$I$8</f>
        <v>#DIV/0!</v>
      </c>
    </row>
    <row r="22" spans="2:9" x14ac:dyDescent="1.1000000000000001">
      <c r="B22"/>
      <c r="C22"/>
      <c r="D22"/>
      <c r="E22"/>
      <c r="F22" s="23" t="e">
        <f>BASE!$F$9^2/(E22*PI()*BASE!$N$8/2*BASE!$F$4*BASE!$Q$13*2*B22^2)</f>
        <v>#DIV/0!</v>
      </c>
      <c r="G22" s="23" t="e">
        <f t="shared" si="0"/>
        <v>#DIV/0!</v>
      </c>
      <c r="H22" s="23" t="e">
        <f>(G22+BASE!$I$4+BASE!$I$5+BASE!$I$6)</f>
        <v>#DIV/0!</v>
      </c>
      <c r="I22" s="23" t="e">
        <f>H22*B22/BASE!$I$7/BASE!$I$8</f>
        <v>#DIV/0!</v>
      </c>
    </row>
    <row r="23" spans="2:9" x14ac:dyDescent="1.1000000000000001">
      <c r="B23"/>
      <c r="C23"/>
      <c r="D23"/>
      <c r="E23"/>
      <c r="F23" s="23" t="e">
        <f>BASE!$F$9^2/(E23*PI()*BASE!$N$8/2*BASE!$F$4*BASE!$Q$13*2*B23^2)</f>
        <v>#DIV/0!</v>
      </c>
      <c r="G23" s="23" t="e">
        <f t="shared" si="0"/>
        <v>#DIV/0!</v>
      </c>
      <c r="H23" s="23" t="e">
        <f>(G23+BASE!$I$4+BASE!$I$5+BASE!$I$6)</f>
        <v>#DIV/0!</v>
      </c>
      <c r="I23" s="23" t="e">
        <f>H23*B23/BASE!$I$7/BASE!$I$8</f>
        <v>#DIV/0!</v>
      </c>
    </row>
    <row r="24" spans="2:9" x14ac:dyDescent="1.1000000000000001">
      <c r="B24"/>
      <c r="C24"/>
      <c r="D24"/>
      <c r="E24"/>
      <c r="F24" s="23" t="e">
        <f>BASE!$F$9^2/(E24*PI()*BASE!$N$8/2*BASE!$F$4*BASE!$Q$13*2*B24^2)</f>
        <v>#DIV/0!</v>
      </c>
      <c r="G24" s="23" t="e">
        <f t="shared" si="0"/>
        <v>#DIV/0!</v>
      </c>
      <c r="H24" s="23" t="e">
        <f>(G24+BASE!$I$4+BASE!$I$5+BASE!$I$6)</f>
        <v>#DIV/0!</v>
      </c>
      <c r="I24" s="23" t="e">
        <f>H24*B24/BASE!$I$7/BASE!$I$8</f>
        <v>#DIV/0!</v>
      </c>
    </row>
    <row r="25" spans="2:9" x14ac:dyDescent="1.1000000000000001">
      <c r="B25"/>
      <c r="C25"/>
      <c r="D25"/>
      <c r="E25"/>
      <c r="F25" s="23" t="e">
        <f>BASE!$F$9^2/(E25*PI()*BASE!$N$8/2*BASE!$F$4*BASE!$Q$13*2*B25^2)</f>
        <v>#DIV/0!</v>
      </c>
      <c r="G25" s="23" t="e">
        <f t="shared" si="0"/>
        <v>#DIV/0!</v>
      </c>
      <c r="H25" s="23" t="e">
        <f>(G25+BASE!$I$4+BASE!$I$5+BASE!$I$6)</f>
        <v>#DIV/0!</v>
      </c>
      <c r="I25" s="23" t="e">
        <f>H25*B25/BASE!$I$7/BASE!$I$8</f>
        <v>#DIV/0!</v>
      </c>
    </row>
    <row r="26" spans="2:9" x14ac:dyDescent="1.1000000000000001">
      <c r="B26"/>
      <c r="C26"/>
      <c r="D26"/>
      <c r="E26"/>
      <c r="F26" s="23" t="e">
        <f>BASE!$F$9^2/(E26*PI()*BASE!$N$8/2*BASE!$F$4*BASE!$Q$13*2*B26^2)</f>
        <v>#DIV/0!</v>
      </c>
      <c r="G26" s="23" t="e">
        <f t="shared" si="0"/>
        <v>#DIV/0!</v>
      </c>
      <c r="H26" s="23" t="e">
        <f>(G26+BASE!$I$4+BASE!$I$5+BASE!$I$6)</f>
        <v>#DIV/0!</v>
      </c>
      <c r="I26" s="23" t="e">
        <f>H26*B26/BASE!$I$7/BASE!$I$8</f>
        <v>#DIV/0!</v>
      </c>
    </row>
    <row r="27" spans="2:9" x14ac:dyDescent="1.1000000000000001">
      <c r="B27"/>
      <c r="C27"/>
      <c r="D27"/>
      <c r="E27"/>
      <c r="F27" s="23" t="e">
        <f>BASE!$F$9^2/(E27*PI()*BASE!$N$8/2*BASE!$F$4*BASE!$Q$13*2*B27^2)</f>
        <v>#DIV/0!</v>
      </c>
      <c r="G27" s="23" t="e">
        <f t="shared" si="0"/>
        <v>#DIV/0!</v>
      </c>
      <c r="H27" s="23" t="e">
        <f>(G27+BASE!$I$4+BASE!$I$5+BASE!$I$6)</f>
        <v>#DIV/0!</v>
      </c>
      <c r="I27" s="23" t="e">
        <f>H27*B27/BASE!$I$7/BASE!$I$8</f>
        <v>#DIV/0!</v>
      </c>
    </row>
    <row r="28" spans="2:9" x14ac:dyDescent="1.1000000000000001">
      <c r="B28"/>
      <c r="C28"/>
      <c r="D28"/>
      <c r="E28"/>
      <c r="F28" s="23" t="e">
        <f>BASE!$F$9^2/(E28*PI()*BASE!$N$8/2*BASE!$F$4*BASE!$Q$13*2*B28^2)</f>
        <v>#DIV/0!</v>
      </c>
      <c r="G28" s="23" t="e">
        <f t="shared" si="0"/>
        <v>#DIV/0!</v>
      </c>
      <c r="H28" s="23" t="e">
        <f>(G28+BASE!$I$4+BASE!$I$5+BASE!$I$6)</f>
        <v>#DIV/0!</v>
      </c>
      <c r="I28" s="23" t="e">
        <f>H28*B28/BASE!$I$7/BASE!$I$8</f>
        <v>#DIV/0!</v>
      </c>
    </row>
    <row r="29" spans="2:9" x14ac:dyDescent="1.1000000000000001">
      <c r="B29"/>
      <c r="C29"/>
      <c r="D29"/>
      <c r="E29"/>
      <c r="F29" s="23" t="e">
        <f>BASE!$F$9^2/(E29*PI()*BASE!$N$8/2*BASE!$F$4*BASE!$Q$13*2*B29^2)</f>
        <v>#DIV/0!</v>
      </c>
      <c r="G29" s="23" t="e">
        <f t="shared" si="0"/>
        <v>#DIV/0!</v>
      </c>
      <c r="H29" s="23" t="e">
        <f>(G29+BASE!$I$4+BASE!$I$5+BASE!$I$6)</f>
        <v>#DIV/0!</v>
      </c>
      <c r="I29" s="23" t="e">
        <f>H29*B29/BASE!$I$7/BASE!$I$8</f>
        <v>#DIV/0!</v>
      </c>
    </row>
    <row r="30" spans="2:9" x14ac:dyDescent="1.1000000000000001">
      <c r="B30"/>
      <c r="C30"/>
      <c r="D30"/>
      <c r="E30"/>
      <c r="F30" s="23" t="e">
        <f>BASE!$F$9^2/(E30*PI()*BASE!$N$8/2*BASE!$F$4*BASE!$Q$13*2*B30^2)</f>
        <v>#DIV/0!</v>
      </c>
      <c r="G30" s="23" t="e">
        <f t="shared" si="0"/>
        <v>#DIV/0!</v>
      </c>
      <c r="H30" s="23" t="e">
        <f>(G30+BASE!$I$4+BASE!$I$5+BASE!$I$6)</f>
        <v>#DIV/0!</v>
      </c>
      <c r="I30" s="23" t="e">
        <f>H30*B30/BASE!$I$7/BASE!$I$8</f>
        <v>#DIV/0!</v>
      </c>
    </row>
    <row r="31" spans="2:9" x14ac:dyDescent="1.1000000000000001">
      <c r="B31"/>
      <c r="C31"/>
      <c r="D31"/>
      <c r="E31"/>
      <c r="F31" s="23" t="e">
        <f>BASE!$F$9^2/(E31*PI()*BASE!$N$8/2*BASE!$F$4*BASE!$Q$13*2*B31^2)</f>
        <v>#DIV/0!</v>
      </c>
      <c r="G31" s="23" t="e">
        <f t="shared" si="0"/>
        <v>#DIV/0!</v>
      </c>
      <c r="H31" s="23" t="e">
        <f>(G31+BASE!$I$4+BASE!$I$5+BASE!$I$6)</f>
        <v>#DIV/0!</v>
      </c>
      <c r="I31" s="23" t="e">
        <f>H31*B31/BASE!$I$7/BASE!$I$8</f>
        <v>#DIV/0!</v>
      </c>
    </row>
    <row r="32" spans="2:9" x14ac:dyDescent="1.1000000000000001">
      <c r="B32"/>
      <c r="C32"/>
      <c r="D32"/>
      <c r="E32"/>
      <c r="F32" s="23" t="e">
        <f>BASE!$F$9^2/(E32*PI()*BASE!$N$8/2*BASE!$F$4*BASE!$Q$13*2*B32^2)</f>
        <v>#DIV/0!</v>
      </c>
      <c r="G32" s="23" t="e">
        <f t="shared" si="0"/>
        <v>#DIV/0!</v>
      </c>
      <c r="H32" s="23" t="e">
        <f>(G32+BASE!$I$4+BASE!$I$5+BASE!$I$6)</f>
        <v>#DIV/0!</v>
      </c>
      <c r="I32" s="23" t="e">
        <f>H32*B32/BASE!$I$7/BASE!$I$8</f>
        <v>#DIV/0!</v>
      </c>
    </row>
    <row r="33" spans="2:9" x14ac:dyDescent="1.1000000000000001">
      <c r="B33"/>
      <c r="C33"/>
      <c r="D33"/>
      <c r="E33"/>
      <c r="F33" s="23" t="e">
        <f>BASE!$F$9^2/(E33*PI()*BASE!$N$8/2*BASE!$F$4*BASE!$Q$13*2*B33^2)</f>
        <v>#DIV/0!</v>
      </c>
      <c r="G33" s="23" t="e">
        <f t="shared" si="0"/>
        <v>#DIV/0!</v>
      </c>
      <c r="H33" s="23" t="e">
        <f>(G33+BASE!$I$4+BASE!$I$5+BASE!$I$6)</f>
        <v>#DIV/0!</v>
      </c>
      <c r="I33" s="23" t="e">
        <f>H33*B33/BASE!$I$7/BASE!$I$8</f>
        <v>#DIV/0!</v>
      </c>
    </row>
    <row r="34" spans="2:9" x14ac:dyDescent="1.1000000000000001">
      <c r="B34"/>
      <c r="C34"/>
      <c r="D34"/>
      <c r="E34"/>
      <c r="F34" s="23" t="e">
        <f>BASE!$F$9^2/(E34*PI()*BASE!$N$8/2*BASE!$F$4*BASE!$Q$13*2*B34^2)</f>
        <v>#DIV/0!</v>
      </c>
      <c r="G34" s="23" t="e">
        <f t="shared" si="0"/>
        <v>#DIV/0!</v>
      </c>
      <c r="H34" s="23" t="e">
        <f>(G34+BASE!$I$4+BASE!$I$5+BASE!$I$6)</f>
        <v>#DIV/0!</v>
      </c>
      <c r="I34" s="23" t="e">
        <f>H34*B34/BASE!$I$7/BASE!$I$8</f>
        <v>#DIV/0!</v>
      </c>
    </row>
    <row r="35" spans="2:9" x14ac:dyDescent="1.1000000000000001">
      <c r="B35"/>
      <c r="C35"/>
      <c r="D35"/>
      <c r="E35"/>
      <c r="F35" s="23" t="e">
        <f>BASE!$F$9^2/(E35*PI()*BASE!$N$8/2*BASE!$F$4*BASE!$Q$13*2*B35^2)</f>
        <v>#DIV/0!</v>
      </c>
      <c r="G35" s="23" t="e">
        <f t="shared" si="0"/>
        <v>#DIV/0!</v>
      </c>
      <c r="H35" s="23" t="e">
        <f>(G35+BASE!$I$4+BASE!$I$5+BASE!$I$6)</f>
        <v>#DIV/0!</v>
      </c>
      <c r="I35" s="23" t="e">
        <f>H35*B35/BASE!$I$7/BASE!$I$8</f>
        <v>#DIV/0!</v>
      </c>
    </row>
    <row r="36" spans="2:9" x14ac:dyDescent="1.1000000000000001">
      <c r="B36"/>
      <c r="C36"/>
      <c r="D36"/>
      <c r="E36"/>
      <c r="F36" s="23" t="e">
        <f>BASE!$F$9^2/(E36*PI()*BASE!$N$8/2*BASE!$F$4*BASE!$Q$13*2*B36^2)</f>
        <v>#DIV/0!</v>
      </c>
      <c r="G36" s="23" t="e">
        <f t="shared" si="0"/>
        <v>#DIV/0!</v>
      </c>
      <c r="H36" s="23" t="e">
        <f>(G36+BASE!$I$4+BASE!$I$5+BASE!$I$6)</f>
        <v>#DIV/0!</v>
      </c>
      <c r="I36" s="23" t="e">
        <f>H36*B36/BASE!$I$7/BASE!$I$8</f>
        <v>#DIV/0!</v>
      </c>
    </row>
  </sheetData>
  <mergeCells count="2">
    <mergeCell ref="B3:C3"/>
    <mergeCell ref="N2:N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S43"/>
  <sheetViews>
    <sheetView zoomScale="70" zoomScaleNormal="70" workbookViewId="0">
      <selection activeCell="F6" sqref="F6"/>
    </sheetView>
  </sheetViews>
  <sheetFormatPr defaultRowHeight="18" x14ac:dyDescent="1.1000000000000001"/>
  <cols>
    <col min="1" max="2" width="11.9140625" style="8" customWidth="1"/>
    <col min="3" max="3" width="9.75" style="8" customWidth="1"/>
    <col min="5" max="5" width="16.08203125" style="8" customWidth="1"/>
    <col min="8" max="8" width="15.58203125" style="8" customWidth="1"/>
    <col min="9" max="9" width="13.1640625" style="8" customWidth="1"/>
    <col min="10" max="10" width="12.33203125" style="8" customWidth="1"/>
    <col min="11" max="11" width="13.25" style="8" customWidth="1"/>
    <col min="13" max="13" width="15.5" style="8" customWidth="1"/>
    <col min="14" max="14" width="11.25" style="8" bestFit="1" customWidth="1"/>
    <col min="17" max="17" width="11.5" style="8" customWidth="1"/>
    <col min="18" max="18" width="12" style="8" customWidth="1"/>
    <col min="19" max="19" width="12.9140625" style="8" customWidth="1"/>
  </cols>
  <sheetData>
    <row r="2" spans="1:19" x14ac:dyDescent="1.1000000000000001">
      <c r="E2" s="2" t="s">
        <v>15</v>
      </c>
      <c r="F2" s="2"/>
      <c r="G2" s="2"/>
      <c r="I2"/>
      <c r="L2" t="s">
        <v>16</v>
      </c>
    </row>
    <row r="3" spans="1:19" x14ac:dyDescent="1.1000000000000001">
      <c r="E3" s="2" t="s">
        <v>17</v>
      </c>
      <c r="F3" s="10">
        <v>9.7974665000000005</v>
      </c>
      <c r="G3" s="2" t="s">
        <v>18</v>
      </c>
      <c r="P3" s="2" t="s">
        <v>19</v>
      </c>
    </row>
    <row r="4" spans="1:19" x14ac:dyDescent="1.1000000000000001">
      <c r="E4" s="2" t="s">
        <v>20</v>
      </c>
      <c r="F4" s="10">
        <v>1.1845840000000001</v>
      </c>
      <c r="G4" s="2" t="s">
        <v>21</v>
      </c>
      <c r="H4" s="2" t="s">
        <v>22</v>
      </c>
      <c r="I4" s="11">
        <v>1</v>
      </c>
      <c r="J4" s="26" t="s">
        <v>23</v>
      </c>
      <c r="L4" t="s">
        <v>24</v>
      </c>
      <c r="P4" s="10">
        <f>定常時揚力分布!M11</f>
        <v>322.10430683679004</v>
      </c>
    </row>
    <row r="5" spans="1:19" x14ac:dyDescent="1.1000000000000001">
      <c r="E5" s="2" t="s">
        <v>25</v>
      </c>
      <c r="F5" s="4">
        <v>11.61</v>
      </c>
      <c r="G5" s="2" t="s">
        <v>26</v>
      </c>
      <c r="H5" s="2" t="s">
        <v>27</v>
      </c>
      <c r="I5" s="11">
        <v>1</v>
      </c>
      <c r="J5" s="30"/>
    </row>
    <row r="6" spans="1:19" x14ac:dyDescent="1.1000000000000001">
      <c r="E6" s="2" t="s">
        <v>28</v>
      </c>
      <c r="F6" s="4">
        <v>35</v>
      </c>
      <c r="G6" s="2" t="s">
        <v>29</v>
      </c>
      <c r="H6" s="2" t="s">
        <v>30</v>
      </c>
      <c r="I6" s="11">
        <v>4</v>
      </c>
      <c r="J6" s="31"/>
    </row>
    <row r="7" spans="1:19" x14ac:dyDescent="1.1000000000000001">
      <c r="E7" s="2" t="s">
        <v>31</v>
      </c>
      <c r="F7" s="4">
        <v>55</v>
      </c>
      <c r="G7" s="2" t="s">
        <v>29</v>
      </c>
      <c r="H7" s="2" t="s">
        <v>32</v>
      </c>
      <c r="I7" s="11">
        <v>0.85</v>
      </c>
      <c r="M7" s="7" t="s">
        <v>33</v>
      </c>
      <c r="N7" s="10">
        <v>0.99464581746513436</v>
      </c>
    </row>
    <row r="8" spans="1:19" x14ac:dyDescent="1.1000000000000001">
      <c r="E8" s="2" t="s">
        <v>34</v>
      </c>
      <c r="F8" s="3">
        <f>F6+F7</f>
        <v>90</v>
      </c>
      <c r="G8" s="2" t="s">
        <v>29</v>
      </c>
      <c r="H8" s="2" t="s">
        <v>35</v>
      </c>
      <c r="I8" s="11">
        <v>0.87</v>
      </c>
      <c r="M8" s="7" t="s">
        <v>36</v>
      </c>
      <c r="N8" s="3">
        <f>$L$13^2*4/1000000/$Q$13/2</f>
        <v>34.038103423578285</v>
      </c>
    </row>
    <row r="9" spans="1:19" x14ac:dyDescent="1.1000000000000001">
      <c r="E9" s="2" t="s">
        <v>37</v>
      </c>
      <c r="F9" s="3">
        <f>F8*F3</f>
        <v>881.77198500000009</v>
      </c>
      <c r="G9" s="2" t="s">
        <v>38</v>
      </c>
      <c r="N9"/>
    </row>
    <row r="10" spans="1:19" x14ac:dyDescent="1.1000000000000001">
      <c r="E10" s="7" t="s">
        <v>39</v>
      </c>
      <c r="F10" s="11">
        <v>1.558601888367467E-5</v>
      </c>
      <c r="G10" s="7" t="s">
        <v>40</v>
      </c>
      <c r="I10" s="32"/>
      <c r="J10" s="33"/>
      <c r="K10" s="33"/>
    </row>
    <row r="11" spans="1:19" x14ac:dyDescent="1.1000000000000001">
      <c r="I11" s="33"/>
      <c r="J11" s="33"/>
      <c r="K11" s="33"/>
    </row>
    <row r="12" spans="1:19" x14ac:dyDescent="1.1000000000000001">
      <c r="C12" s="26" t="s">
        <v>41</v>
      </c>
      <c r="D12" s="35"/>
      <c r="E12" s="27"/>
      <c r="F12" s="26" t="s">
        <v>42</v>
      </c>
      <c r="G12" s="35"/>
      <c r="H12" s="27"/>
      <c r="I12" s="38" t="s">
        <v>43</v>
      </c>
      <c r="J12" s="39"/>
      <c r="K12" s="40"/>
      <c r="L12" s="2" t="s">
        <v>44</v>
      </c>
      <c r="M12" s="5" t="s">
        <v>45</v>
      </c>
      <c r="N12" s="26" t="s">
        <v>46</v>
      </c>
      <c r="O12" s="35"/>
      <c r="P12" s="27"/>
      <c r="Q12" s="2" t="s">
        <v>47</v>
      </c>
      <c r="R12" s="2" t="s">
        <v>48</v>
      </c>
      <c r="S12" s="2" t="s">
        <v>49</v>
      </c>
    </row>
    <row r="13" spans="1:19" x14ac:dyDescent="1.1000000000000001">
      <c r="A13" t="s">
        <v>50</v>
      </c>
      <c r="C13" s="34"/>
      <c r="D13" s="35"/>
      <c r="E13" s="27"/>
      <c r="F13" s="34"/>
      <c r="G13" s="35"/>
      <c r="H13" s="27"/>
      <c r="I13" s="34"/>
      <c r="J13" s="35"/>
      <c r="K13" s="27"/>
      <c r="L13" s="3">
        <f>SUM(L14:L18)</f>
        <v>10900</v>
      </c>
      <c r="M13" s="6"/>
      <c r="N13" s="34"/>
      <c r="O13" s="35"/>
      <c r="P13" s="27"/>
      <c r="Q13" s="3">
        <f>SUM(Q14:Q19)</f>
        <v>6.9809999999999999</v>
      </c>
      <c r="R13" s="2" t="s">
        <v>51</v>
      </c>
      <c r="S13" s="2"/>
    </row>
    <row r="14" spans="1:19" x14ac:dyDescent="1.1000000000000001">
      <c r="B14">
        <v>1</v>
      </c>
      <c r="C14" s="4" t="s">
        <v>52</v>
      </c>
      <c r="D14" s="1" t="s">
        <v>3</v>
      </c>
      <c r="E14" s="4" t="s">
        <v>52</v>
      </c>
      <c r="F14" s="4">
        <v>700</v>
      </c>
      <c r="G14" s="1" t="s">
        <v>3</v>
      </c>
      <c r="H14" s="4">
        <v>700</v>
      </c>
      <c r="I14" s="4">
        <f>$F$5*$F$14/(1000*$F$10)</f>
        <v>521428.85624965449</v>
      </c>
      <c r="J14" s="1" t="s">
        <v>3</v>
      </c>
      <c r="K14" s="4">
        <f>$F$5*$H$14/(1000*$F$10)</f>
        <v>521428.85624965449</v>
      </c>
      <c r="L14" s="4">
        <v>1500</v>
      </c>
      <c r="M14" s="4">
        <f>L14</f>
        <v>1500</v>
      </c>
      <c r="N14" s="4">
        <v>3.5</v>
      </c>
      <c r="O14" s="1" t="s">
        <v>3</v>
      </c>
      <c r="P14" s="4">
        <v>3.5</v>
      </c>
      <c r="Q14" s="2">
        <f t="shared" ref="Q14:Q19" si="0">(F14+H14)/2*L14/1000000</f>
        <v>1.05</v>
      </c>
      <c r="R14" s="2" t="s">
        <v>53</v>
      </c>
      <c r="S14" s="2">
        <f t="shared" ref="S14:S19" si="1">(F14+H14)/2</f>
        <v>700</v>
      </c>
    </row>
    <row r="15" spans="1:19" x14ac:dyDescent="1.1000000000000001">
      <c r="B15">
        <v>2</v>
      </c>
      <c r="C15" s="4" t="s">
        <v>52</v>
      </c>
      <c r="D15" s="1" t="s">
        <v>3</v>
      </c>
      <c r="E15" s="4" t="s">
        <v>52</v>
      </c>
      <c r="F15" s="4">
        <v>700</v>
      </c>
      <c r="G15" s="1" t="s">
        <v>3</v>
      </c>
      <c r="H15" s="4">
        <v>700</v>
      </c>
      <c r="I15" s="4">
        <f>$F$5*$F$15/(1000*$F$10)</f>
        <v>521428.85624965449</v>
      </c>
      <c r="J15" s="1" t="s">
        <v>3</v>
      </c>
      <c r="K15" s="4">
        <f>$F$5*$H$15/(1000*$F$10)</f>
        <v>521428.85624965449</v>
      </c>
      <c r="L15" s="4">
        <v>2700</v>
      </c>
      <c r="M15" s="4">
        <f>M14+L15</f>
        <v>4200</v>
      </c>
      <c r="N15" s="4">
        <v>3.5</v>
      </c>
      <c r="O15" s="1" t="s">
        <v>3</v>
      </c>
      <c r="P15" s="4">
        <v>3.5</v>
      </c>
      <c r="Q15" s="2">
        <f t="shared" si="0"/>
        <v>1.89</v>
      </c>
      <c r="R15" s="2" t="s">
        <v>53</v>
      </c>
      <c r="S15" s="2">
        <f t="shared" si="1"/>
        <v>700</v>
      </c>
    </row>
    <row r="16" spans="1:19" x14ac:dyDescent="1.1000000000000001">
      <c r="B16">
        <v>3</v>
      </c>
      <c r="C16" s="4" t="s">
        <v>52</v>
      </c>
      <c r="D16" s="1" t="s">
        <v>3</v>
      </c>
      <c r="E16" s="4" t="s">
        <v>54</v>
      </c>
      <c r="F16" s="4">
        <v>700</v>
      </c>
      <c r="G16" s="1" t="s">
        <v>3</v>
      </c>
      <c r="H16" s="4">
        <v>660</v>
      </c>
      <c r="I16" s="4">
        <f>$F$5*$F$16/(1000*$F$10)</f>
        <v>521428.85624965449</v>
      </c>
      <c r="J16" s="1" t="s">
        <v>3</v>
      </c>
      <c r="K16" s="4">
        <f>$F$5*$H$16/(1000*$F$10)</f>
        <v>491632.92160681705</v>
      </c>
      <c r="L16" s="4">
        <v>2700</v>
      </c>
      <c r="M16" s="4">
        <f>M15+L16</f>
        <v>6900</v>
      </c>
      <c r="N16" s="4">
        <v>3.5</v>
      </c>
      <c r="O16" s="1" t="s">
        <v>3</v>
      </c>
      <c r="P16" s="4">
        <v>3</v>
      </c>
      <c r="Q16" s="2">
        <f t="shared" si="0"/>
        <v>1.8360000000000001</v>
      </c>
      <c r="R16" s="2" t="s">
        <v>53</v>
      </c>
      <c r="S16" s="2">
        <f t="shared" si="1"/>
        <v>680</v>
      </c>
    </row>
    <row r="17" spans="2:19" x14ac:dyDescent="1.1000000000000001">
      <c r="B17">
        <v>4</v>
      </c>
      <c r="C17" s="4" t="s">
        <v>54</v>
      </c>
      <c r="D17" s="1" t="s">
        <v>3</v>
      </c>
      <c r="E17" s="14" t="s">
        <v>55</v>
      </c>
      <c r="F17" s="4">
        <v>660</v>
      </c>
      <c r="G17" s="1" t="s">
        <v>3</v>
      </c>
      <c r="H17" s="4">
        <v>540</v>
      </c>
      <c r="I17" s="4">
        <f>$F$5*$F$17/(1000*$F$10)</f>
        <v>491632.92160681705</v>
      </c>
      <c r="J17" s="1" t="s">
        <v>3</v>
      </c>
      <c r="K17" s="4">
        <f>$F$5*$H$17/(1000*$F$10)</f>
        <v>402245.1176783049</v>
      </c>
      <c r="L17" s="4">
        <v>2500</v>
      </c>
      <c r="M17" s="4">
        <f>M16+L17</f>
        <v>9400</v>
      </c>
      <c r="N17" s="4">
        <v>3</v>
      </c>
      <c r="O17" s="1" t="s">
        <v>3</v>
      </c>
      <c r="P17" s="4">
        <v>1.7</v>
      </c>
      <c r="Q17" s="2">
        <f t="shared" si="0"/>
        <v>1.5</v>
      </c>
      <c r="R17" s="2" t="s">
        <v>53</v>
      </c>
      <c r="S17" s="2">
        <f t="shared" si="1"/>
        <v>600</v>
      </c>
    </row>
    <row r="18" spans="2:19" x14ac:dyDescent="1.1000000000000001">
      <c r="B18">
        <v>5</v>
      </c>
      <c r="C18" s="14" t="s">
        <v>55</v>
      </c>
      <c r="D18" s="1" t="s">
        <v>3</v>
      </c>
      <c r="E18" s="4" t="s">
        <v>56</v>
      </c>
      <c r="F18" s="4">
        <v>540</v>
      </c>
      <c r="G18" s="1" t="s">
        <v>3</v>
      </c>
      <c r="H18" s="4">
        <v>400</v>
      </c>
      <c r="I18" s="4">
        <f>$F$5*$F$18/(1000*$F$10)</f>
        <v>402245.1176783049</v>
      </c>
      <c r="J18" s="1" t="s">
        <v>3</v>
      </c>
      <c r="K18" s="4">
        <f>$F$5*$H$18/(1000*$F$10)</f>
        <v>297959.346428374</v>
      </c>
      <c r="L18" s="4">
        <v>1500</v>
      </c>
      <c r="M18" s="4">
        <f>M17+L18</f>
        <v>10900</v>
      </c>
      <c r="N18" s="4">
        <v>1.7</v>
      </c>
      <c r="O18" s="1" t="s">
        <v>3</v>
      </c>
      <c r="P18" s="4">
        <v>1</v>
      </c>
      <c r="Q18" s="2">
        <f t="shared" si="0"/>
        <v>0.70499999999999996</v>
      </c>
      <c r="R18" s="2" t="s">
        <v>57</v>
      </c>
      <c r="S18" s="2">
        <f t="shared" si="1"/>
        <v>470</v>
      </c>
    </row>
    <row r="19" spans="2:19" x14ac:dyDescent="1.1000000000000001">
      <c r="B19">
        <v>6</v>
      </c>
      <c r="C19" s="4"/>
      <c r="D19" s="1" t="s">
        <v>3</v>
      </c>
      <c r="E19" s="4"/>
      <c r="F19" s="4"/>
      <c r="G19" s="1" t="s">
        <v>3</v>
      </c>
      <c r="H19" s="4"/>
      <c r="I19" s="4">
        <f>$F$5*$F$19/(1000*$F$10)</f>
        <v>0</v>
      </c>
      <c r="J19" s="1" t="s">
        <v>3</v>
      </c>
      <c r="K19" s="4">
        <f>$F$5*$H$19/(1000*$F$10)</f>
        <v>0</v>
      </c>
      <c r="L19" s="4"/>
      <c r="M19" s="4">
        <f>M18+L19</f>
        <v>10900</v>
      </c>
      <c r="N19" s="4"/>
      <c r="O19" s="1" t="s">
        <v>3</v>
      </c>
      <c r="P19" s="4"/>
      <c r="Q19" s="2">
        <f t="shared" si="0"/>
        <v>0</v>
      </c>
      <c r="R19" s="2"/>
      <c r="S19" s="2">
        <f t="shared" si="1"/>
        <v>0</v>
      </c>
    </row>
    <row r="21" spans="2:19" ht="18.5" customHeight="1" thickBot="1" x14ac:dyDescent="1.25"/>
    <row r="22" spans="2:19" ht="18.75" customHeight="1" thickBot="1" x14ac:dyDescent="1.25">
      <c r="C22" s="41" t="s">
        <v>58</v>
      </c>
      <c r="D22" s="42"/>
      <c r="H22"/>
    </row>
    <row r="23" spans="2:19" ht="18.5" customHeight="1" thickBot="1" x14ac:dyDescent="1.25">
      <c r="C23" s="43"/>
      <c r="D23" s="44"/>
    </row>
    <row r="24" spans="2:19" x14ac:dyDescent="1.1000000000000001">
      <c r="C24" s="36" t="s">
        <v>59</v>
      </c>
      <c r="D24" s="37"/>
      <c r="E24" s="33"/>
      <c r="F24" s="37"/>
      <c r="G24" s="37"/>
      <c r="H24" s="33"/>
      <c r="I24" s="33"/>
      <c r="J24" s="33"/>
      <c r="K24" s="33"/>
      <c r="L24" s="37"/>
      <c r="M24" s="33"/>
    </row>
    <row r="25" spans="2:19" x14ac:dyDescent="1.1000000000000001">
      <c r="C25" s="33"/>
      <c r="D25" s="37"/>
      <c r="E25" s="33"/>
      <c r="F25" s="37"/>
      <c r="G25" s="37"/>
      <c r="H25" s="33"/>
      <c r="I25" s="33"/>
      <c r="J25" s="33"/>
      <c r="K25" s="33"/>
      <c r="L25" s="37"/>
      <c r="M25" s="33"/>
    </row>
    <row r="26" spans="2:19" x14ac:dyDescent="1.1000000000000001">
      <c r="C26" s="33"/>
      <c r="D26" s="37"/>
      <c r="E26" s="33"/>
      <c r="F26" s="37"/>
      <c r="G26" s="37"/>
      <c r="H26" s="33"/>
      <c r="I26" s="33"/>
      <c r="J26" s="33"/>
      <c r="K26" s="33"/>
      <c r="L26" s="37"/>
      <c r="M26" s="33"/>
    </row>
    <row r="27" spans="2:19" x14ac:dyDescent="1.1000000000000001">
      <c r="C27" s="33"/>
      <c r="D27" s="37"/>
      <c r="E27" s="33"/>
      <c r="F27" s="37"/>
      <c r="G27" s="37"/>
      <c r="H27" s="33"/>
      <c r="I27" s="33"/>
      <c r="J27" s="33"/>
      <c r="K27" s="33"/>
      <c r="L27" s="37"/>
      <c r="M27" s="33"/>
    </row>
    <row r="28" spans="2:19" x14ac:dyDescent="1.1000000000000001">
      <c r="C28" s="33"/>
      <c r="D28" s="37"/>
      <c r="E28" s="33"/>
      <c r="F28" s="37"/>
      <c r="G28" s="37"/>
      <c r="H28" s="33"/>
      <c r="I28" s="33"/>
      <c r="J28" s="33"/>
      <c r="K28" s="33"/>
      <c r="L28" s="37"/>
      <c r="M28" s="33"/>
    </row>
    <row r="29" spans="2:19" x14ac:dyDescent="1.1000000000000001">
      <c r="C29" s="33"/>
      <c r="D29" s="37"/>
      <c r="E29" s="33"/>
      <c r="F29" s="37"/>
      <c r="G29" s="37"/>
      <c r="H29" s="33"/>
      <c r="I29" s="33"/>
      <c r="J29" s="33"/>
      <c r="K29" s="33"/>
      <c r="L29" s="37"/>
      <c r="M29" s="33"/>
    </row>
    <row r="37" spans="5:11" x14ac:dyDescent="1.1000000000000001">
      <c r="E37">
        <v>0</v>
      </c>
      <c r="F37">
        <f>F38</f>
        <v>700</v>
      </c>
    </row>
    <row r="38" spans="5:11" x14ac:dyDescent="1.1000000000000001">
      <c r="E38">
        <f>L14</f>
        <v>1500</v>
      </c>
      <c r="F38">
        <f>H14</f>
        <v>700</v>
      </c>
    </row>
    <row r="39" spans="5:11" x14ac:dyDescent="1.1000000000000001">
      <c r="E39">
        <f>M15</f>
        <v>4200</v>
      </c>
      <c r="F39">
        <f>H15</f>
        <v>700</v>
      </c>
    </row>
    <row r="40" spans="5:11" x14ac:dyDescent="1.1000000000000001">
      <c r="E40">
        <f>M16</f>
        <v>6900</v>
      </c>
      <c r="F40">
        <f>H16</f>
        <v>660</v>
      </c>
    </row>
    <row r="41" spans="5:11" x14ac:dyDescent="1.1000000000000001">
      <c r="E41">
        <f>M17</f>
        <v>9400</v>
      </c>
      <c r="F41">
        <f>H17</f>
        <v>540</v>
      </c>
      <c r="K41" s="13" t="s">
        <v>60</v>
      </c>
    </row>
    <row r="42" spans="5:11" x14ac:dyDescent="1.1000000000000001">
      <c r="E42">
        <f>M18</f>
        <v>10900</v>
      </c>
      <c r="F42">
        <f>H18</f>
        <v>400</v>
      </c>
    </row>
    <row r="43" spans="5:11" x14ac:dyDescent="1.1000000000000001">
      <c r="E43">
        <f>M19</f>
        <v>10900</v>
      </c>
    </row>
  </sheetData>
  <mergeCells count="12">
    <mergeCell ref="N13:P13"/>
    <mergeCell ref="C24:M29"/>
    <mergeCell ref="I12:K12"/>
    <mergeCell ref="F12:H12"/>
    <mergeCell ref="C22:D23"/>
    <mergeCell ref="N12:P12"/>
    <mergeCell ref="C12:E12"/>
    <mergeCell ref="J4:J6"/>
    <mergeCell ref="I10:K11"/>
    <mergeCell ref="I13:K13"/>
    <mergeCell ref="F13:H13"/>
    <mergeCell ref="C13:E13"/>
  </mergeCells>
  <phoneticPr fontId="1"/>
  <hyperlinks>
    <hyperlink ref="K41" r:id="rId1" display="https://youtube.com/playlist?list=PLtl5ylS6jdP6uOxzSJKPnUsvMbkmalfKg&amp;si=yGcgfqDeptw4trVc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S43"/>
  <sheetViews>
    <sheetView zoomScale="70" zoomScaleNormal="70" workbookViewId="0">
      <selection activeCell="H10" sqref="H10"/>
    </sheetView>
  </sheetViews>
  <sheetFormatPr defaultRowHeight="18" x14ac:dyDescent="1.1000000000000001"/>
  <cols>
    <col min="1" max="2" width="11.9140625" style="8" customWidth="1"/>
    <col min="3" max="3" width="9.75" style="8" customWidth="1"/>
    <col min="5" max="5" width="16.08203125" style="8" customWidth="1"/>
    <col min="8" max="8" width="15.58203125" style="8" customWidth="1"/>
    <col min="9" max="9" width="13.1640625" style="8" customWidth="1"/>
    <col min="10" max="10" width="12.33203125" style="8" customWidth="1"/>
    <col min="11" max="11" width="13.25" style="8" customWidth="1"/>
    <col min="13" max="13" width="15.5" style="8" customWidth="1"/>
    <col min="14" max="14" width="11.25" style="8" bestFit="1" customWidth="1"/>
    <col min="17" max="17" width="11.5" style="8" customWidth="1"/>
    <col min="18" max="18" width="12" style="8" customWidth="1"/>
    <col min="19" max="19" width="12.9140625" style="8" customWidth="1"/>
  </cols>
  <sheetData>
    <row r="2" spans="1:19" x14ac:dyDescent="1.1000000000000001">
      <c r="E2" s="2" t="s">
        <v>15</v>
      </c>
      <c r="F2" s="2"/>
      <c r="G2" s="2"/>
      <c r="I2"/>
      <c r="L2" t="s">
        <v>16</v>
      </c>
    </row>
    <row r="3" spans="1:19" x14ac:dyDescent="1.1000000000000001">
      <c r="E3" s="2" t="s">
        <v>17</v>
      </c>
      <c r="F3" s="10">
        <v>9.7974665000000005</v>
      </c>
      <c r="G3" s="2" t="s">
        <v>18</v>
      </c>
      <c r="P3" s="2" t="s">
        <v>19</v>
      </c>
    </row>
    <row r="4" spans="1:19" x14ac:dyDescent="1.1000000000000001">
      <c r="E4" s="2" t="s">
        <v>20</v>
      </c>
      <c r="F4" s="10">
        <v>1.1845840000000001</v>
      </c>
      <c r="G4" s="2" t="s">
        <v>21</v>
      </c>
      <c r="H4" s="2" t="s">
        <v>22</v>
      </c>
      <c r="I4" s="11">
        <v>1</v>
      </c>
      <c r="J4" s="26" t="s">
        <v>23</v>
      </c>
      <c r="L4" t="s">
        <v>24</v>
      </c>
      <c r="P4" s="10">
        <f>低速時揚力分布!M11</f>
        <v>301.03777578908381</v>
      </c>
    </row>
    <row r="5" spans="1:19" x14ac:dyDescent="1.1000000000000001">
      <c r="E5" s="2" t="s">
        <v>25</v>
      </c>
      <c r="F5" s="4">
        <v>9</v>
      </c>
      <c r="G5" s="2" t="s">
        <v>26</v>
      </c>
      <c r="H5" s="2" t="s">
        <v>27</v>
      </c>
      <c r="I5" s="11">
        <v>1</v>
      </c>
      <c r="J5" s="30"/>
    </row>
    <row r="6" spans="1:19" x14ac:dyDescent="1.1000000000000001">
      <c r="E6" s="2" t="s">
        <v>28</v>
      </c>
      <c r="F6" s="4">
        <v>35</v>
      </c>
      <c r="G6" s="2" t="s">
        <v>29</v>
      </c>
      <c r="H6" s="2" t="s">
        <v>30</v>
      </c>
      <c r="I6" s="11">
        <v>4</v>
      </c>
      <c r="J6" s="31"/>
    </row>
    <row r="7" spans="1:19" x14ac:dyDescent="1.1000000000000001">
      <c r="E7" s="2" t="s">
        <v>31</v>
      </c>
      <c r="F7" s="4">
        <v>55</v>
      </c>
      <c r="G7" s="2" t="s">
        <v>29</v>
      </c>
      <c r="H7" s="2" t="s">
        <v>32</v>
      </c>
      <c r="I7" s="11">
        <v>0.9</v>
      </c>
      <c r="M7" s="7" t="s">
        <v>33</v>
      </c>
      <c r="N7" s="12">
        <v>0.97791804286092054</v>
      </c>
    </row>
    <row r="8" spans="1:19" x14ac:dyDescent="1.1000000000000001">
      <c r="E8" s="2" t="s">
        <v>34</v>
      </c>
      <c r="F8" s="3">
        <f>F6+F7</f>
        <v>90</v>
      </c>
      <c r="G8" s="2" t="s">
        <v>29</v>
      </c>
      <c r="H8" s="2" t="s">
        <v>35</v>
      </c>
      <c r="I8" s="11">
        <v>0.85</v>
      </c>
      <c r="M8" s="7" t="s">
        <v>36</v>
      </c>
      <c r="N8" s="3">
        <f>$L$13^2*4/1000000/$Q$13/2</f>
        <v>31.049261727427151</v>
      </c>
    </row>
    <row r="9" spans="1:19" x14ac:dyDescent="1.1000000000000001">
      <c r="E9" s="2" t="s">
        <v>37</v>
      </c>
      <c r="F9" s="3">
        <f>F8*F3</f>
        <v>881.77198500000009</v>
      </c>
      <c r="G9" s="2" t="s">
        <v>38</v>
      </c>
      <c r="N9"/>
    </row>
    <row r="10" spans="1:19" x14ac:dyDescent="1.1000000000000001">
      <c r="E10" s="7" t="s">
        <v>39</v>
      </c>
      <c r="F10" s="11">
        <v>1.558601888367467E-5</v>
      </c>
      <c r="G10" s="7" t="s">
        <v>40</v>
      </c>
      <c r="I10" s="32"/>
      <c r="J10" s="33"/>
      <c r="K10" s="33"/>
    </row>
    <row r="11" spans="1:19" x14ac:dyDescent="1.1000000000000001">
      <c r="I11" s="33"/>
      <c r="J11" s="33"/>
      <c r="K11" s="33"/>
    </row>
    <row r="12" spans="1:19" x14ac:dyDescent="1.1000000000000001">
      <c r="C12" s="26" t="s">
        <v>41</v>
      </c>
      <c r="D12" s="35"/>
      <c r="E12" s="27"/>
      <c r="F12" s="26" t="s">
        <v>42</v>
      </c>
      <c r="G12" s="35"/>
      <c r="H12" s="27"/>
      <c r="I12" s="38" t="s">
        <v>43</v>
      </c>
      <c r="J12" s="39"/>
      <c r="K12" s="40"/>
      <c r="L12" s="2" t="s">
        <v>44</v>
      </c>
      <c r="M12" s="5" t="s">
        <v>45</v>
      </c>
      <c r="N12" s="26" t="s">
        <v>46</v>
      </c>
      <c r="O12" s="35"/>
      <c r="P12" s="27"/>
      <c r="Q12" s="2" t="s">
        <v>47</v>
      </c>
      <c r="R12" s="2" t="s">
        <v>48</v>
      </c>
      <c r="S12" s="9" t="s">
        <v>49</v>
      </c>
    </row>
    <row r="13" spans="1:19" x14ac:dyDescent="1.1000000000000001">
      <c r="A13" t="s">
        <v>50</v>
      </c>
      <c r="C13" s="34"/>
      <c r="D13" s="35"/>
      <c r="E13" s="27"/>
      <c r="F13" s="34"/>
      <c r="G13" s="35"/>
      <c r="H13" s="27"/>
      <c r="I13" s="34"/>
      <c r="J13" s="35"/>
      <c r="K13" s="27"/>
      <c r="L13" s="3">
        <f>SUM(L14:L18)</f>
        <v>10900</v>
      </c>
      <c r="M13" s="6"/>
      <c r="N13" s="34"/>
      <c r="O13" s="35"/>
      <c r="P13" s="27"/>
      <c r="Q13" s="3">
        <f>SUM(Q14:Q19)</f>
        <v>7.6530000000000005</v>
      </c>
      <c r="R13" s="2" t="s">
        <v>51</v>
      </c>
      <c r="S13" s="2"/>
    </row>
    <row r="14" spans="1:19" x14ac:dyDescent="1.1000000000000001">
      <c r="B14">
        <v>1</v>
      </c>
      <c r="C14" s="4" t="s">
        <v>61</v>
      </c>
      <c r="D14" s="1" t="s">
        <v>3</v>
      </c>
      <c r="E14" s="4" t="s">
        <v>61</v>
      </c>
      <c r="F14" s="4">
        <v>860</v>
      </c>
      <c r="G14" s="1" t="s">
        <v>3</v>
      </c>
      <c r="H14" s="4">
        <v>860</v>
      </c>
      <c r="I14" s="4">
        <f>$F$5*$F$14/(1000*$F$10)</f>
        <v>496598.91071395669</v>
      </c>
      <c r="J14" s="1" t="s">
        <v>3</v>
      </c>
      <c r="K14" s="4">
        <f>$F$5*$H$14/(1000*$F$10)</f>
        <v>496598.91071395669</v>
      </c>
      <c r="L14" s="4">
        <v>1500</v>
      </c>
      <c r="M14" s="4">
        <f>L14</f>
        <v>1500</v>
      </c>
      <c r="N14" s="4">
        <v>3.2</v>
      </c>
      <c r="O14" s="1" t="s">
        <v>3</v>
      </c>
      <c r="P14" s="4">
        <v>3.2</v>
      </c>
      <c r="Q14" s="2">
        <f t="shared" ref="Q14:Q19" si="0">(F14+H14)/2*L14/1000000</f>
        <v>1.29</v>
      </c>
      <c r="R14" s="2" t="s">
        <v>53</v>
      </c>
      <c r="S14" s="2">
        <f t="shared" ref="S14:S19" si="1">(F14+H14)/2</f>
        <v>860</v>
      </c>
    </row>
    <row r="15" spans="1:19" x14ac:dyDescent="1.1000000000000001">
      <c r="B15">
        <v>2</v>
      </c>
      <c r="C15" s="4" t="s">
        <v>61</v>
      </c>
      <c r="D15" s="1" t="s">
        <v>3</v>
      </c>
      <c r="E15" s="4" t="s">
        <v>61</v>
      </c>
      <c r="F15" s="4">
        <v>860</v>
      </c>
      <c r="G15" s="1" t="s">
        <v>3</v>
      </c>
      <c r="H15" s="4">
        <v>860</v>
      </c>
      <c r="I15" s="4">
        <f>$F$5*$F$15/(1000*$F$10)</f>
        <v>496598.91071395669</v>
      </c>
      <c r="J15" s="1" t="s">
        <v>3</v>
      </c>
      <c r="K15" s="4">
        <f>$F$5*$H$15/(1000*$F$10)</f>
        <v>496598.91071395669</v>
      </c>
      <c r="L15" s="4">
        <v>2700</v>
      </c>
      <c r="M15" s="4">
        <f>M14+L15</f>
        <v>4200</v>
      </c>
      <c r="N15" s="4">
        <v>3.2</v>
      </c>
      <c r="O15" s="1" t="s">
        <v>3</v>
      </c>
      <c r="P15" s="4">
        <v>3.2</v>
      </c>
      <c r="Q15" s="2">
        <f t="shared" si="0"/>
        <v>2.3220000000000001</v>
      </c>
      <c r="R15" s="2" t="s">
        <v>53</v>
      </c>
      <c r="S15" s="2">
        <f t="shared" si="1"/>
        <v>860</v>
      </c>
    </row>
    <row r="16" spans="1:19" x14ac:dyDescent="1.1000000000000001">
      <c r="B16">
        <v>3</v>
      </c>
      <c r="C16" s="4" t="s">
        <v>62</v>
      </c>
      <c r="D16" s="1" t="s">
        <v>3</v>
      </c>
      <c r="E16" s="4" t="s">
        <v>63</v>
      </c>
      <c r="F16" s="4">
        <v>700</v>
      </c>
      <c r="G16" s="1" t="s">
        <v>3</v>
      </c>
      <c r="H16" s="4">
        <v>660</v>
      </c>
      <c r="I16" s="4">
        <f>$F$5*$F$16/(1000*$F$10)</f>
        <v>404208.41569740657</v>
      </c>
      <c r="J16" s="1" t="s">
        <v>3</v>
      </c>
      <c r="K16" s="4">
        <f>$F$5*$H$16/(1000*$F$10)</f>
        <v>381110.79194326908</v>
      </c>
      <c r="L16" s="4">
        <v>2700</v>
      </c>
      <c r="M16" s="4">
        <f>M15+L16</f>
        <v>6900</v>
      </c>
      <c r="N16" s="4">
        <v>3.2</v>
      </c>
      <c r="O16" s="1" t="s">
        <v>3</v>
      </c>
      <c r="P16" s="4">
        <v>2.7</v>
      </c>
      <c r="Q16" s="2">
        <f t="shared" si="0"/>
        <v>1.8360000000000001</v>
      </c>
      <c r="R16" s="2" t="s">
        <v>53</v>
      </c>
      <c r="S16" s="2">
        <f t="shared" si="1"/>
        <v>680</v>
      </c>
    </row>
    <row r="17" spans="2:19" x14ac:dyDescent="1.1000000000000001">
      <c r="B17">
        <v>4</v>
      </c>
      <c r="C17" s="4" t="s">
        <v>63</v>
      </c>
      <c r="D17" s="1" t="s">
        <v>3</v>
      </c>
      <c r="E17" s="14" t="s">
        <v>64</v>
      </c>
      <c r="F17" s="4">
        <v>660</v>
      </c>
      <c r="G17" s="1" t="s">
        <v>3</v>
      </c>
      <c r="H17" s="4">
        <v>540</v>
      </c>
      <c r="I17" s="4">
        <f>$F$5*$F$17/(1000*$F$10)</f>
        <v>381110.79194326908</v>
      </c>
      <c r="J17" s="1" t="s">
        <v>3</v>
      </c>
      <c r="K17" s="4">
        <f>$F$5*$H$17/(1000*$F$10)</f>
        <v>311817.92068085651</v>
      </c>
      <c r="L17" s="4">
        <v>2500</v>
      </c>
      <c r="M17" s="4">
        <f>M16+L17</f>
        <v>9400</v>
      </c>
      <c r="N17" s="4">
        <v>2.7</v>
      </c>
      <c r="O17" s="1" t="s">
        <v>3</v>
      </c>
      <c r="P17" s="4">
        <v>1</v>
      </c>
      <c r="Q17" s="2">
        <f t="shared" si="0"/>
        <v>1.5</v>
      </c>
      <c r="R17" s="2" t="s">
        <v>53</v>
      </c>
      <c r="S17" s="2">
        <f t="shared" si="1"/>
        <v>600</v>
      </c>
    </row>
    <row r="18" spans="2:19" x14ac:dyDescent="1.1000000000000001">
      <c r="B18">
        <v>5</v>
      </c>
      <c r="C18" s="14" t="s">
        <v>64</v>
      </c>
      <c r="D18" s="1" t="s">
        <v>3</v>
      </c>
      <c r="E18" s="4" t="s">
        <v>65</v>
      </c>
      <c r="F18" s="4">
        <v>540</v>
      </c>
      <c r="G18" s="1" t="s">
        <v>3</v>
      </c>
      <c r="H18" s="4">
        <v>400</v>
      </c>
      <c r="I18" s="4">
        <f>$F$5*$F$18/(1000*$F$10)</f>
        <v>311817.92068085651</v>
      </c>
      <c r="J18" s="1" t="s">
        <v>3</v>
      </c>
      <c r="K18" s="4">
        <f>$F$5*$H$18/(1000*$F$10)</f>
        <v>230976.23754137519</v>
      </c>
      <c r="L18" s="4">
        <v>1500</v>
      </c>
      <c r="M18" s="4">
        <f>M17+L18</f>
        <v>10900</v>
      </c>
      <c r="N18" s="4">
        <v>1</v>
      </c>
      <c r="O18" s="1" t="s">
        <v>3</v>
      </c>
      <c r="P18" s="4">
        <v>0.5</v>
      </c>
      <c r="Q18" s="2">
        <f t="shared" si="0"/>
        <v>0.70499999999999996</v>
      </c>
      <c r="R18" s="2" t="s">
        <v>57</v>
      </c>
      <c r="S18" s="2">
        <f t="shared" si="1"/>
        <v>470</v>
      </c>
    </row>
    <row r="19" spans="2:19" x14ac:dyDescent="1.1000000000000001">
      <c r="B19">
        <v>6</v>
      </c>
      <c r="C19" s="4"/>
      <c r="D19" s="1" t="s">
        <v>3</v>
      </c>
      <c r="E19" s="4"/>
      <c r="F19" s="4"/>
      <c r="G19" s="1" t="s">
        <v>3</v>
      </c>
      <c r="H19" s="4"/>
      <c r="I19" s="4">
        <f>$F$5*$F$19/(1000*$F$10)</f>
        <v>0</v>
      </c>
      <c r="J19" s="1" t="s">
        <v>3</v>
      </c>
      <c r="K19" s="4">
        <f>$F$5*$H$19/(1000*$F$10)</f>
        <v>0</v>
      </c>
      <c r="L19" s="4"/>
      <c r="M19" s="4">
        <f>M18+L19</f>
        <v>10900</v>
      </c>
      <c r="N19" s="4"/>
      <c r="O19" s="1" t="s">
        <v>3</v>
      </c>
      <c r="P19" s="4"/>
      <c r="Q19" s="2">
        <f t="shared" si="0"/>
        <v>0</v>
      </c>
      <c r="R19" s="2"/>
      <c r="S19" s="2">
        <f t="shared" si="1"/>
        <v>0</v>
      </c>
    </row>
    <row r="21" spans="2:19" ht="18.5" customHeight="1" thickBot="1" x14ac:dyDescent="1.25"/>
    <row r="22" spans="2:19" ht="18.75" customHeight="1" thickBot="1" x14ac:dyDescent="1.25">
      <c r="C22" s="41" t="s">
        <v>58</v>
      </c>
      <c r="D22" s="42"/>
      <c r="H22"/>
    </row>
    <row r="23" spans="2:19" ht="18.5" customHeight="1" thickBot="1" x14ac:dyDescent="1.25">
      <c r="C23" s="43"/>
      <c r="D23" s="44"/>
    </row>
    <row r="24" spans="2:19" x14ac:dyDescent="1.1000000000000001">
      <c r="C24" s="36" t="s">
        <v>59</v>
      </c>
      <c r="D24" s="37"/>
      <c r="E24" s="33"/>
      <c r="F24" s="37"/>
      <c r="G24" s="37"/>
      <c r="H24" s="33"/>
      <c r="I24" s="33"/>
      <c r="J24" s="33"/>
      <c r="K24" s="33"/>
      <c r="L24" s="37"/>
      <c r="M24" s="33"/>
      <c r="O24">
        <f t="shared" ref="O24:O29" si="2">(F14-H14)/L14*100</f>
        <v>0</v>
      </c>
    </row>
    <row r="25" spans="2:19" x14ac:dyDescent="1.1000000000000001">
      <c r="C25" s="33"/>
      <c r="D25" s="37"/>
      <c r="E25" s="33"/>
      <c r="F25" s="37"/>
      <c r="G25" s="37"/>
      <c r="H25" s="33"/>
      <c r="I25" s="33"/>
      <c r="J25" s="33"/>
      <c r="K25" s="33"/>
      <c r="L25" s="37"/>
      <c r="M25" s="33"/>
      <c r="O25">
        <f t="shared" si="2"/>
        <v>0</v>
      </c>
    </row>
    <row r="26" spans="2:19" x14ac:dyDescent="1.1000000000000001">
      <c r="C26" s="33"/>
      <c r="D26" s="37"/>
      <c r="E26" s="33"/>
      <c r="F26" s="37"/>
      <c r="G26" s="37"/>
      <c r="H26" s="33"/>
      <c r="I26" s="33"/>
      <c r="J26" s="33"/>
      <c r="K26" s="33"/>
      <c r="L26" s="37"/>
      <c r="M26" s="33"/>
      <c r="O26">
        <f t="shared" si="2"/>
        <v>1.4814814814814816</v>
      </c>
    </row>
    <row r="27" spans="2:19" x14ac:dyDescent="1.1000000000000001">
      <c r="C27" s="33"/>
      <c r="D27" s="37"/>
      <c r="E27" s="33"/>
      <c r="F27" s="37"/>
      <c r="G27" s="37"/>
      <c r="H27" s="33"/>
      <c r="I27" s="33"/>
      <c r="J27" s="33"/>
      <c r="K27" s="33"/>
      <c r="L27" s="37"/>
      <c r="M27" s="33"/>
      <c r="O27">
        <f t="shared" si="2"/>
        <v>4.8</v>
      </c>
    </row>
    <row r="28" spans="2:19" x14ac:dyDescent="1.1000000000000001">
      <c r="C28" s="33"/>
      <c r="D28" s="37"/>
      <c r="E28" s="33"/>
      <c r="F28" s="37"/>
      <c r="G28" s="37"/>
      <c r="H28" s="33"/>
      <c r="I28" s="33"/>
      <c r="J28" s="33"/>
      <c r="K28" s="33"/>
      <c r="L28" s="37"/>
      <c r="M28" s="33"/>
      <c r="O28">
        <f t="shared" si="2"/>
        <v>9.3333333333333339</v>
      </c>
    </row>
    <row r="29" spans="2:19" x14ac:dyDescent="1.1000000000000001">
      <c r="C29" s="33"/>
      <c r="D29" s="37"/>
      <c r="E29" s="33"/>
      <c r="F29" s="37"/>
      <c r="G29" s="37"/>
      <c r="H29" s="33"/>
      <c r="I29" s="33"/>
      <c r="J29" s="33"/>
      <c r="K29" s="33"/>
      <c r="L29" s="37"/>
      <c r="M29" s="33"/>
      <c r="O29" t="e">
        <f t="shared" si="2"/>
        <v>#DIV/0!</v>
      </c>
    </row>
    <row r="37" spans="5:11" x14ac:dyDescent="1.1000000000000001">
      <c r="E37">
        <v>0</v>
      </c>
      <c r="F37">
        <f>F38</f>
        <v>860</v>
      </c>
    </row>
    <row r="38" spans="5:11" x14ac:dyDescent="1.1000000000000001">
      <c r="E38">
        <f>L14</f>
        <v>1500</v>
      </c>
      <c r="F38">
        <f>H14</f>
        <v>860</v>
      </c>
    </row>
    <row r="39" spans="5:11" x14ac:dyDescent="1.1000000000000001">
      <c r="E39">
        <f>M15</f>
        <v>4200</v>
      </c>
      <c r="F39">
        <f>H15</f>
        <v>860</v>
      </c>
    </row>
    <row r="40" spans="5:11" x14ac:dyDescent="1.1000000000000001">
      <c r="E40">
        <f>M16</f>
        <v>6900</v>
      </c>
      <c r="F40">
        <f>H16</f>
        <v>660</v>
      </c>
    </row>
    <row r="41" spans="5:11" x14ac:dyDescent="1.1000000000000001">
      <c r="E41">
        <f>M17</f>
        <v>9400</v>
      </c>
      <c r="F41">
        <f>H17</f>
        <v>540</v>
      </c>
      <c r="K41" s="13" t="s">
        <v>60</v>
      </c>
    </row>
    <row r="42" spans="5:11" x14ac:dyDescent="1.1000000000000001">
      <c r="E42">
        <f>M18</f>
        <v>10900</v>
      </c>
      <c r="F42">
        <f>H18</f>
        <v>400</v>
      </c>
    </row>
    <row r="43" spans="5:11" x14ac:dyDescent="1.1000000000000001">
      <c r="E43">
        <f>M19</f>
        <v>10900</v>
      </c>
    </row>
  </sheetData>
  <mergeCells count="12">
    <mergeCell ref="N13:P13"/>
    <mergeCell ref="C24:M29"/>
    <mergeCell ref="I12:K12"/>
    <mergeCell ref="F12:H12"/>
    <mergeCell ref="C22:D23"/>
    <mergeCell ref="N12:P12"/>
    <mergeCell ref="C12:E12"/>
    <mergeCell ref="J4:J6"/>
    <mergeCell ref="C13:E13"/>
    <mergeCell ref="I13:K13"/>
    <mergeCell ref="F13:H13"/>
    <mergeCell ref="I10:K11"/>
  </mergeCells>
  <phoneticPr fontId="1"/>
  <hyperlinks>
    <hyperlink ref="K41" r:id="rId1" display="https://youtube.com/playlist?list=PLtl5ylS6jdP6uOxzSJKPnUsvMbkmalfKg&amp;si=yGcgfqDeptw4trVc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181"/>
  <sheetViews>
    <sheetView zoomScale="55" zoomScaleNormal="55" workbookViewId="0">
      <pane xSplit="1" topLeftCell="B1" activePane="topRight" state="frozen"/>
      <selection activeCell="A167" sqref="A167"/>
      <selection pane="topRight" activeCell="N4" sqref="N4"/>
    </sheetView>
  </sheetViews>
  <sheetFormatPr defaultRowHeight="18" x14ac:dyDescent="1.1000000000000001"/>
  <cols>
    <col min="8" max="8" width="11.1640625" style="8" customWidth="1"/>
    <col min="12" max="12" width="12.0390625" style="8" customWidth="1"/>
  </cols>
  <sheetData>
    <row r="1" spans="1:13" ht="18" customHeight="1" x14ac:dyDescent="1.1000000000000001">
      <c r="A1" s="17"/>
      <c r="B1" s="45" t="s">
        <v>66</v>
      </c>
      <c r="C1" s="46"/>
      <c r="D1" s="46"/>
      <c r="E1" s="47"/>
      <c r="G1" s="48" t="s">
        <v>67</v>
      </c>
      <c r="H1" s="33"/>
    </row>
    <row r="2" spans="1:13" ht="18.5" customHeight="1" x14ac:dyDescent="1.1000000000000001">
      <c r="B2" s="29"/>
      <c r="C2" s="39"/>
      <c r="D2" s="39"/>
      <c r="E2" s="40"/>
      <c r="G2" s="37"/>
      <c r="H2" s="33"/>
      <c r="L2" s="26" t="s">
        <v>68</v>
      </c>
      <c r="M2" s="27"/>
    </row>
    <row r="3" spans="1:13" x14ac:dyDescent="1.1000000000000001">
      <c r="B3" t="s">
        <v>42</v>
      </c>
      <c r="C3" s="19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s="19" t="s">
        <v>75</v>
      </c>
      <c r="J3" s="19" t="s">
        <v>76</v>
      </c>
      <c r="L3" s="2" t="s">
        <v>77</v>
      </c>
      <c r="M3" s="4">
        <v>881.77200000000005</v>
      </c>
    </row>
    <row r="4" spans="1:13" x14ac:dyDescent="1.1000000000000001">
      <c r="A4">
        <v>0</v>
      </c>
      <c r="B4">
        <v>700</v>
      </c>
      <c r="C4" s="19">
        <f>4*$M$3*10^3*100*0.001*SQRT(1-4*A4^2/(BASE!$L$13*BASE!$L$13*4))/(PI()*BASE!$L$13*2)</f>
        <v>5.1500320176156604</v>
      </c>
      <c r="D4" s="16">
        <v>0.37670807927877448</v>
      </c>
      <c r="E4">
        <v>0.91456211127933484</v>
      </c>
      <c r="F4">
        <v>7.5116459603606122E-3</v>
      </c>
      <c r="G4">
        <v>-0.1132767080792788</v>
      </c>
      <c r="H4">
        <v>0.36752732926846038</v>
      </c>
      <c r="I4" s="19">
        <f>1/2*BASE!$F$4*(BASE!$F$5^2)*B4/1000*E4*0.1</f>
        <v>5.1110667351572072</v>
      </c>
      <c r="J4" s="19">
        <f>1/2*BASE!$F$4*(BASE!$F$5^2)*B4/1000*F4*0.1</f>
        <v>4.197913222161781E-2</v>
      </c>
      <c r="L4" s="2" t="s">
        <v>78</v>
      </c>
      <c r="M4" s="3">
        <f>SUM(I4:I181)*2</f>
        <v>887.7153498253906</v>
      </c>
    </row>
    <row r="5" spans="1:13" x14ac:dyDescent="1.1000000000000001">
      <c r="A5">
        <v>100</v>
      </c>
      <c r="B5">
        <v>700</v>
      </c>
      <c r="C5" s="19">
        <f>4*$M$3*10^3*100*0.001*SQRT(1-4*A5^2/(BASE!$L$13*BASE!$L$13*4))/(PI()*BASE!$L$13*2)</f>
        <v>5.1498152791092577</v>
      </c>
      <c r="D5" s="16">
        <v>0.37675580837072192</v>
      </c>
      <c r="E5">
        <v>0.91455686107922063</v>
      </c>
      <c r="F5">
        <v>7.5116220958146391E-3</v>
      </c>
      <c r="G5">
        <v>-0.1132767558083707</v>
      </c>
      <c r="H5">
        <v>0.36752809293393163</v>
      </c>
      <c r="I5" s="19">
        <f>1/2*BASE!$F$4*(BASE!$F$5^2)*(B5+B4)/2000*E5*0.1</f>
        <v>5.1110373942050451</v>
      </c>
      <c r="J5" s="19">
        <f>1/2*BASE!$F$4*(BASE!$F$5^2)*(B5+B4)/2000*F5*0.1</f>
        <v>4.1978998853653436E-2</v>
      </c>
      <c r="L5" s="2" t="s">
        <v>79</v>
      </c>
      <c r="M5" s="3">
        <f>SUM(J4:J181)*2</f>
        <v>7.8696136586279746</v>
      </c>
    </row>
    <row r="6" spans="1:13" x14ac:dyDescent="1.1000000000000001">
      <c r="A6">
        <v>200</v>
      </c>
      <c r="B6">
        <v>700</v>
      </c>
      <c r="C6" s="19">
        <f>4*$M$3*10^3*100*0.001*SQRT(1-4*A6^2/(BASE!$L$13*BASE!$L$13*4))/(PI()*BASE!$L$13*2)</f>
        <v>5.149165008852342</v>
      </c>
      <c r="D6" s="16">
        <v>0.37697104818743388</v>
      </c>
      <c r="E6">
        <v>0.91453318469938227</v>
      </c>
      <c r="F6">
        <v>7.5115144759062826E-3</v>
      </c>
      <c r="G6">
        <v>-0.1132769710481874</v>
      </c>
      <c r="H6">
        <v>0.36753153677099892</v>
      </c>
      <c r="I6" s="19">
        <f>1/2*BASE!$F$4*(BASE!$F$5^2)*(B6+B5)/2000*E6*0.1</f>
        <v>5.1109050778146008</v>
      </c>
      <c r="J6" s="19">
        <f>1/2*BASE!$F$4*(BASE!$F$5^2)*(B6+B5)/2000*F6*0.1</f>
        <v>4.1978397415515054E-2</v>
      </c>
      <c r="L6" s="2" t="s">
        <v>80</v>
      </c>
      <c r="M6" s="3">
        <f>$M$4/BASE!$Q$13/BASE!$F$4/BASE!$F$5^2</f>
        <v>0.7963899844486555</v>
      </c>
    </row>
    <row r="7" spans="1:13" x14ac:dyDescent="1.1000000000000001">
      <c r="A7">
        <v>300</v>
      </c>
      <c r="B7">
        <v>700</v>
      </c>
      <c r="C7" s="19">
        <f>4*$M$3*10^3*100*0.001*SQRT(1-4*A7^2/(BASE!$L$13*BASE!$L$13*4))/(PI()*BASE!$L$13*2)</f>
        <v>5.1480810425626542</v>
      </c>
      <c r="D7" s="16">
        <v>0.37733041402238138</v>
      </c>
      <c r="E7">
        <v>0.91449365445753805</v>
      </c>
      <c r="F7">
        <v>7.5113347929888089E-3</v>
      </c>
      <c r="G7">
        <v>-0.1132773304140224</v>
      </c>
      <c r="H7">
        <v>0.36753728662435808</v>
      </c>
      <c r="I7" s="19">
        <f>1/2*BASE!$F$4*(BASE!$F$5^2)*(B7+B6)/2000*E7*0.1</f>
        <v>5.1106841614857581</v>
      </c>
      <c r="J7" s="19">
        <f>1/2*BASE!$F$4*(BASE!$F$5^2)*(B7+B6)/2000*F7*0.1</f>
        <v>4.1977393250383951E-2</v>
      </c>
      <c r="L7" s="2" t="s">
        <v>36</v>
      </c>
      <c r="M7" s="3">
        <f>BASE!$N$8</f>
        <v>34.038103423578285</v>
      </c>
    </row>
    <row r="8" spans="1:13" x14ac:dyDescent="1.1000000000000001">
      <c r="A8">
        <v>400</v>
      </c>
      <c r="B8">
        <v>700</v>
      </c>
      <c r="C8" s="19">
        <f>4*$M$3*10^3*100*0.001*SQRT(1-4*A8^2/(BASE!$L$13*BASE!$L$13*4))/(PI()*BASE!$L$13*2)</f>
        <v>5.1465631062057398</v>
      </c>
      <c r="D8" s="16">
        <v>0.37778632766850678</v>
      </c>
      <c r="E8">
        <v>0.91444350395646423</v>
      </c>
      <c r="F8">
        <v>7.5111068361657461E-3</v>
      </c>
      <c r="G8">
        <v>-0.11327778632766849</v>
      </c>
      <c r="H8">
        <v>0.36754458124269612</v>
      </c>
      <c r="I8" s="19">
        <f>1/2*BASE!$F$4*(BASE!$F$5^2)*(B8+B7)/2000*E8*0.1</f>
        <v>5.1104038934157945</v>
      </c>
      <c r="J8" s="19">
        <f>1/2*BASE!$F$4*(BASE!$F$5^2)*(B8+B7)/2000*F8*0.1</f>
        <v>4.1976119304611391E-2</v>
      </c>
      <c r="L8" s="2" t="s">
        <v>81</v>
      </c>
      <c r="M8" s="3">
        <f>$M$6^2/(BASE!$N$8*BASE!$N$7*PI())*BASE!$F$4*BASE!$F$5^2*BASE!$Q$13</f>
        <v>6.6468492962218297</v>
      </c>
    </row>
    <row r="9" spans="1:13" x14ac:dyDescent="1.1000000000000001">
      <c r="A9">
        <v>500</v>
      </c>
      <c r="B9">
        <v>700</v>
      </c>
      <c r="C9" s="19">
        <f>4*$M$3*10^3*100*0.001*SQRT(1-4*A9^2/(BASE!$L$13*BASE!$L$13*4))/(PI()*BASE!$L$13*2)</f>
        <v>5.1446108156482193</v>
      </c>
      <c r="D9" s="16">
        <v>0.37843795427869392</v>
      </c>
      <c r="E9">
        <v>0.91437182502934367</v>
      </c>
      <c r="F9">
        <v>7.5107810228606528E-3</v>
      </c>
      <c r="G9">
        <v>-0.11327843795427869</v>
      </c>
      <c r="H9">
        <v>0.36755500726845908</v>
      </c>
      <c r="I9" s="19">
        <f>1/2*BASE!$F$4*(BASE!$F$5^2)*(B9+B8)/2000*E9*0.1</f>
        <v>5.1100033128805862</v>
      </c>
      <c r="J9" s="19">
        <f>1/2*BASE!$F$4*(BASE!$F$5^2)*(B9+B8)/2000*F9*0.1</f>
        <v>4.1974298483996808E-2</v>
      </c>
      <c r="L9" s="2" t="s">
        <v>82</v>
      </c>
      <c r="M9" s="3">
        <f>$M$8+$M$5</f>
        <v>14.516462954849803</v>
      </c>
    </row>
    <row r="10" spans="1:13" x14ac:dyDescent="1.1000000000000001">
      <c r="A10">
        <v>600</v>
      </c>
      <c r="B10">
        <v>700</v>
      </c>
      <c r="C10" s="19">
        <f>4*$M$3*10^3*100*0.001*SQRT(1-4*A10^2/(BASE!$L$13*BASE!$L$13*4))/(PI()*BASE!$L$13*2)</f>
        <v>5.1422236761709081</v>
      </c>
      <c r="D10" s="16">
        <v>0.37921376781235971</v>
      </c>
      <c r="E10">
        <v>0.91428648554064051</v>
      </c>
      <c r="F10">
        <v>7.5103931160938201E-3</v>
      </c>
      <c r="G10">
        <v>-0.1132792137678124</v>
      </c>
      <c r="H10">
        <v>0.36756742028499778</v>
      </c>
      <c r="I10" s="19">
        <f>1/2*BASE!$F$4*(BASE!$F$5^2)*(B10+B9)/2000*E10*0.1</f>
        <v>5.1095263897536309</v>
      </c>
      <c r="J10" s="19">
        <f>1/2*BASE!$F$4*(BASE!$F$5^2)*(B10+B9)/2000*F10*0.1</f>
        <v>4.1972130651601554E-2</v>
      </c>
      <c r="L10" s="2" t="s">
        <v>83</v>
      </c>
      <c r="M10" s="3">
        <f>$M$9+BASE!$I$4+BASE!$I$5+BASE!$I$6</f>
        <v>20.516462954849803</v>
      </c>
    </row>
    <row r="11" spans="1:13" x14ac:dyDescent="1.1000000000000001">
      <c r="A11">
        <v>700</v>
      </c>
      <c r="B11">
        <v>700</v>
      </c>
      <c r="C11" s="19">
        <f>4*$M$3*10^3*100*0.001*SQRT(1-4*A11^2/(BASE!$L$13*BASE!$L$13*4))/(PI()*BASE!$L$13*2)</f>
        <v>5.1394010818403846</v>
      </c>
      <c r="D11" s="16">
        <v>0.38008948671157161</v>
      </c>
      <c r="E11">
        <v>0.91419015646172719</v>
      </c>
      <c r="F11">
        <v>7.5099552566442141E-3</v>
      </c>
      <c r="G11">
        <v>-0.1132800894867116</v>
      </c>
      <c r="H11">
        <v>0.36758143178738523</v>
      </c>
      <c r="I11" s="19">
        <f>1/2*BASE!$F$4*(BASE!$F$5^2)*(B11+B10)/2000*E11*0.1</f>
        <v>5.1089880508646814</v>
      </c>
      <c r="J11" s="19">
        <f>1/2*BASE!$F$4*(BASE!$F$5^2)*(B11+B10)/2000*F11*0.1</f>
        <v>4.1969683656651782E-2</v>
      </c>
      <c r="L11" s="2" t="s">
        <v>84</v>
      </c>
      <c r="M11" s="3">
        <f>$M$10*BASE!$F$5/BASE!$I$7/BASE!$I$8</f>
        <v>322.10430683679004</v>
      </c>
    </row>
    <row r="12" spans="1:13" x14ac:dyDescent="1.1000000000000001">
      <c r="A12">
        <v>800</v>
      </c>
      <c r="B12">
        <v>700</v>
      </c>
      <c r="C12" s="19">
        <f>4*$M$3*10^3*100*0.001*SQRT(1-4*A12^2/(BASE!$L$13*BASE!$L$13*4))/(PI()*BASE!$L$13*2)</f>
        <v>5.1361423147371061</v>
      </c>
      <c r="D12" s="16">
        <v>0.3811957057514932</v>
      </c>
      <c r="E12">
        <v>0.91406847236733579</v>
      </c>
      <c r="F12">
        <v>7.509402147124253E-3</v>
      </c>
      <c r="G12">
        <v>-0.1132811957057515</v>
      </c>
      <c r="H12">
        <v>0.36759913129202387</v>
      </c>
      <c r="I12" s="19">
        <f>1/2*BASE!$F$4*(BASE!$F$5^2)*(B12+B11)/2000*E12*0.1</f>
        <v>5.1083080144632476</v>
      </c>
      <c r="J12" s="19">
        <f>1/2*BASE!$F$4*(BASE!$F$5^2)*(B12+B11)/2000*F12*0.1</f>
        <v>4.196659258209981E-2</v>
      </c>
    </row>
    <row r="13" spans="1:13" x14ac:dyDescent="1.1000000000000001">
      <c r="A13">
        <v>900</v>
      </c>
      <c r="B13">
        <v>700</v>
      </c>
      <c r="C13" s="19">
        <f>4*$M$3*10^3*100*0.001*SQRT(1-4*A13^2/(BASE!$L$13*BASE!$L$13*4))/(PI()*BASE!$L$13*2)</f>
        <v>5.1324465440377871</v>
      </c>
      <c r="D13" s="16">
        <v>0.38240853520680779</v>
      </c>
      <c r="E13">
        <v>0.9139350611272512</v>
      </c>
      <c r="F13">
        <v>7.508795732396596E-3</v>
      </c>
      <c r="G13">
        <v>-0.1132824085352068</v>
      </c>
      <c r="H13">
        <v>0.36761853656330901</v>
      </c>
      <c r="I13" s="19">
        <f>1/2*BASE!$F$4*(BASE!$F$5^2)*(B13+B12)/2000*E13*0.1</f>
        <v>5.107562440441666</v>
      </c>
      <c r="J13" s="19">
        <f>1/2*BASE!$F$4*(BASE!$F$5^2)*(B13+B12)/2000*F13*0.1</f>
        <v>4.1963203609274441E-2</v>
      </c>
    </row>
    <row r="14" spans="1:13" x14ac:dyDescent="1.1000000000000001">
      <c r="A14">
        <v>1000</v>
      </c>
      <c r="B14">
        <v>700</v>
      </c>
      <c r="C14" s="19">
        <f>4*$M$3*10^3*100*0.001*SQRT(1-4*A14^2/(BASE!$L$13*BASE!$L$13*4))/(PI()*BASE!$L$13*2)</f>
        <v>5.1283128249492789</v>
      </c>
      <c r="D14" s="16">
        <v>0.38375274593516778</v>
      </c>
      <c r="E14">
        <v>0.91378719794713159</v>
      </c>
      <c r="F14">
        <v>7.5081236270324158E-3</v>
      </c>
      <c r="G14">
        <v>-0.1132837527459352</v>
      </c>
      <c r="H14">
        <v>0.36764004393496269</v>
      </c>
      <c r="I14" s="19">
        <f>1/2*BASE!$F$4*(BASE!$F$5^2)*(B14+B13)/2000*E14*0.1</f>
        <v>5.1067361011783801</v>
      </c>
      <c r="J14" s="19">
        <f>1/2*BASE!$F$4*(BASE!$F$5^2)*(B14+B13)/2000*F14*0.1</f>
        <v>4.1959447521714051E-2</v>
      </c>
    </row>
    <row r="15" spans="1:13" x14ac:dyDescent="1.1000000000000001">
      <c r="A15">
        <v>1100</v>
      </c>
      <c r="B15">
        <v>700</v>
      </c>
      <c r="C15" s="19">
        <f>4*$M$3*10^3*100*0.001*SQRT(1-4*A15^2/(BASE!$L$13*BASE!$L$13*4))/(PI()*BASE!$L$13*2)</f>
        <v>5.1237400974907539</v>
      </c>
      <c r="D15" s="16">
        <v>0.38532003054701608</v>
      </c>
      <c r="E15">
        <v>0.91361479663982825</v>
      </c>
      <c r="F15">
        <v>7.5073399847264913E-3</v>
      </c>
      <c r="G15">
        <v>-0.113285320030547</v>
      </c>
      <c r="H15">
        <v>0.36766512048875227</v>
      </c>
      <c r="I15" s="19">
        <f>1/2*BASE!$F$4*(BASE!$F$5^2)*(B15+B14)/2000*E15*0.1</f>
        <v>5.1057726296153358</v>
      </c>
      <c r="J15" s="19">
        <f>1/2*BASE!$F$4*(BASE!$F$5^2)*(B15+B14)/2000*F15*0.1</f>
        <v>4.1955068105518391E-2</v>
      </c>
    </row>
    <row r="16" spans="1:13" ht="18" customHeight="1" x14ac:dyDescent="1.1000000000000001">
      <c r="A16">
        <v>1200</v>
      </c>
      <c r="B16">
        <v>700</v>
      </c>
      <c r="C16" s="19">
        <f>4*$M$3*10^3*100*0.001*SQRT(1-4*A16^2/(BASE!$L$13*BASE!$L$13*4))/(PI()*BASE!$L$13*2)</f>
        <v>5.1187271851204681</v>
      </c>
      <c r="D16" s="16">
        <v>0.38700343197283782</v>
      </c>
      <c r="E16">
        <v>0.91342962248298787</v>
      </c>
      <c r="F16">
        <v>7.5064982840135804E-3</v>
      </c>
      <c r="G16">
        <v>-0.1132870034319728</v>
      </c>
      <c r="H16" s="15">
        <v>0.36769205491156542</v>
      </c>
      <c r="I16" s="19">
        <f>1/2*BASE!$F$4*(BASE!$F$5^2)*(B16+B15)/2000*E16*0.1</f>
        <v>5.1047377764746189</v>
      </c>
      <c r="J16" s="19">
        <f>1/2*BASE!$F$4*(BASE!$F$5^2)*(B16+B15)/2000*F16*0.1</f>
        <v>4.1950364227606042E-2</v>
      </c>
    </row>
    <row r="17" spans="1:10" x14ac:dyDescent="1.1000000000000001">
      <c r="A17">
        <v>1300</v>
      </c>
      <c r="B17">
        <v>700</v>
      </c>
      <c r="C17" s="19">
        <f>4*$M$3*10^3*100*0.001*SQRT(1-4*A17^2/(BASE!$L$13*BASE!$L$13*4))/(PI()*BASE!$L$13*2)</f>
        <v>5.1132727932029516</v>
      </c>
      <c r="D17" s="16">
        <v>0.38885615769464688</v>
      </c>
      <c r="E17">
        <v>0.91322582265358887</v>
      </c>
      <c r="F17">
        <v>7.5055719211526766E-3</v>
      </c>
      <c r="G17">
        <v>-0.1132888561576946</v>
      </c>
      <c r="H17">
        <v>0.36772169852311443</v>
      </c>
      <c r="I17" s="19">
        <f>1/2*BASE!$F$4*(BASE!$F$5^2)*(B17+B16)/2000*E17*0.1</f>
        <v>5.103598833021981</v>
      </c>
      <c r="J17" s="19">
        <f>1/2*BASE!$F$4*(BASE!$F$5^2)*(B17+B16)/2000*F17*0.1</f>
        <v>4.194518721191224E-2</v>
      </c>
    </row>
    <row r="18" spans="1:10" x14ac:dyDescent="1.1000000000000001">
      <c r="A18">
        <v>1400</v>
      </c>
      <c r="B18">
        <v>700</v>
      </c>
      <c r="C18" s="19">
        <f>4*$M$3*10^3*100*0.001*SQRT(1-4*A18^2/(BASE!$L$13*BASE!$L$13*4))/(PI()*BASE!$L$13*2)</f>
        <v>5.107375507311871</v>
      </c>
      <c r="D18" s="16">
        <v>0.3909298698021591</v>
      </c>
      <c r="E18">
        <v>0.91299771432176258</v>
      </c>
      <c r="F18">
        <v>7.5045350650989199E-3</v>
      </c>
      <c r="G18">
        <v>-0.1132909298698022</v>
      </c>
      <c r="H18">
        <v>0.36775487791683448</v>
      </c>
      <c r="I18" s="19">
        <f>1/2*BASE!$F$4*(BASE!$F$5^2)*(B18+B17)/2000*E18*0.1</f>
        <v>5.1023240405366703</v>
      </c>
      <c r="J18" s="19">
        <f>1/2*BASE!$F$4*(BASE!$F$5^2)*(B18+B17)/2000*F18*0.1</f>
        <v>4.1939392700615363E-2</v>
      </c>
    </row>
    <row r="19" spans="1:10" x14ac:dyDescent="1.1000000000000001">
      <c r="A19">
        <v>1500</v>
      </c>
      <c r="B19">
        <v>700</v>
      </c>
      <c r="C19" s="19">
        <f>4*$M$3*10^3*100*0.001*SQRT(1-4*A19^2/(BASE!$L$13*BASE!$L$13*4))/(PI()*BASE!$L$13*2)</f>
        <v>5.1010337913633057</v>
      </c>
      <c r="D19" s="16">
        <v>0.39313349318416208</v>
      </c>
      <c r="E19">
        <v>0.91275531574974222</v>
      </c>
      <c r="F19">
        <v>7.5034332534079182E-3</v>
      </c>
      <c r="G19">
        <v>-0.11329313349318421</v>
      </c>
      <c r="H19">
        <v>0.36779013589094661</v>
      </c>
      <c r="I19" s="19">
        <f>1/2*BASE!$F$4*(BASE!$F$5^2)*(B19+B18)/2000*E19*0.1</f>
        <v>5.1009693864756471</v>
      </c>
      <c r="J19" s="19">
        <f>1/2*BASE!$F$4*(BASE!$F$5^2)*(B19+B18)/2000*F19*0.1</f>
        <v>4.1933235182156164E-2</v>
      </c>
    </row>
    <row r="20" spans="1:10" x14ac:dyDescent="1.1000000000000001">
      <c r="A20">
        <v>1600</v>
      </c>
      <c r="B20">
        <v>700</v>
      </c>
      <c r="C20" s="19">
        <f>4*$M$3*10^3*100*0.001*SQRT(1-4*A20^2/(BASE!$L$13*BASE!$L$13*4))/(PI()*BASE!$L$13*2)</f>
        <v>5.0942459855736146</v>
      </c>
      <c r="D20" s="16">
        <v>0.39555344299180151</v>
      </c>
      <c r="E20">
        <v>0.91248912127090187</v>
      </c>
      <c r="F20">
        <v>7.5022232785040988E-3</v>
      </c>
      <c r="G20">
        <v>-0.1132955534429918</v>
      </c>
      <c r="H20">
        <v>0.36782885508786878</v>
      </c>
      <c r="I20" s="19">
        <f>1/2*BASE!$F$4*(BASE!$F$5^2)*(B20+B19)/2000*E20*0.1</f>
        <v>5.099481748042888</v>
      </c>
      <c r="J20" s="19">
        <f>1/2*BASE!$F$4*(BASE!$F$5^2)*(B20+B19)/2000*F20*0.1</f>
        <v>4.192647318928E-2</v>
      </c>
    </row>
    <row r="21" spans="1:10" x14ac:dyDescent="1.1000000000000001">
      <c r="A21">
        <v>1700</v>
      </c>
      <c r="B21">
        <v>700</v>
      </c>
      <c r="C21" s="19">
        <f>4*$M$3*10^3*100*0.001*SQRT(1-4*A21^2/(BASE!$L$13*BASE!$L$13*4))/(PI()*BASE!$L$13*2)</f>
        <v>5.0870103042353785</v>
      </c>
      <c r="D21" s="16">
        <v>0.3981987286535113</v>
      </c>
      <c r="E21">
        <v>0.91219813984811382</v>
      </c>
      <c r="F21">
        <v>7.5009006356732454E-3</v>
      </c>
      <c r="G21">
        <v>-0.1132981987286535</v>
      </c>
      <c r="H21">
        <v>0.36787117965845623</v>
      </c>
      <c r="I21" s="19">
        <f>1/2*BASE!$F$4*(BASE!$F$5^2)*(B21+B20)/2000*E21*0.1</f>
        <v>5.0978555867879898</v>
      </c>
      <c r="J21" s="19">
        <f>1/2*BASE!$F$4*(BASE!$F$5^2)*(B21+B20)/2000*F21*0.1</f>
        <v>4.1919081547212286E-2</v>
      </c>
    </row>
    <row r="22" spans="1:10" x14ac:dyDescent="1.1000000000000001">
      <c r="A22">
        <v>1800</v>
      </c>
      <c r="B22">
        <v>700</v>
      </c>
      <c r="C22" s="19">
        <f>4*$M$3*10^3*100*0.001*SQRT(1-4*A22^2/(BASE!$L$13*BASE!$L$13*4))/(PI()*BASE!$L$13*2)</f>
        <v>5.0793248333043639</v>
      </c>
      <c r="D22" s="16">
        <v>0.40099340446478732</v>
      </c>
      <c r="E22">
        <v>0.91189221561557066</v>
      </c>
      <c r="F22">
        <v>7.4994536275443668E-3</v>
      </c>
      <c r="G22">
        <v>-0.1133</v>
      </c>
      <c r="H22">
        <v>0.36791688787590138</v>
      </c>
      <c r="I22" s="19">
        <f>1/2*BASE!$F$4*(BASE!$F$5^2)*(B22+B21)/2000*E22*0.1</f>
        <v>5.0961459170464316</v>
      </c>
      <c r="J22" s="19">
        <f>1/2*BASE!$F$4*(BASE!$F$5^2)*(B22+B21)/2000*F22*0.1</f>
        <v>4.1910994884729991E-2</v>
      </c>
    </row>
    <row r="23" spans="1:10" x14ac:dyDescent="1.1000000000000001">
      <c r="A23">
        <v>1900</v>
      </c>
      <c r="B23">
        <v>700</v>
      </c>
      <c r="C23" s="19">
        <f>4*$M$3*10^3*100*0.001*SQRT(1-4*A23^2/(BASE!$L$13*BASE!$L$13*4))/(PI()*BASE!$L$13*2)</f>
        <v>5.0711875277896556</v>
      </c>
      <c r="D23" s="16">
        <v>0.40406419228677798</v>
      </c>
      <c r="E23">
        <v>0.91155903513688463</v>
      </c>
      <c r="F23">
        <v>7.4977646942422718E-3</v>
      </c>
      <c r="G23">
        <v>-0.1133</v>
      </c>
      <c r="H23">
        <v>0.36796909126887523</v>
      </c>
      <c r="I23" s="19">
        <f>1/2*BASE!$F$4*(BASE!$F$5^2)*(B23+B22)/2000*E23*0.1</f>
        <v>5.0942839246891998</v>
      </c>
      <c r="J23" s="19">
        <f>1/2*BASE!$F$4*(BASE!$F$5^2)*(B23+B22)/2000*F23*0.1</f>
        <v>4.1901556213794711E-2</v>
      </c>
    </row>
    <row r="24" spans="1:10" x14ac:dyDescent="1.1000000000000001">
      <c r="A24">
        <v>2000</v>
      </c>
      <c r="B24">
        <v>700</v>
      </c>
      <c r="C24" s="19">
        <f>4*$M$3*10^3*100*0.001*SQRT(1-4*A24^2/(BASE!$L$13*BASE!$L$13*4))/(PI()*BASE!$L$13*2)</f>
        <v>5.0625962089384302</v>
      </c>
      <c r="D24" s="16">
        <v>0.40737318498028718</v>
      </c>
      <c r="E24">
        <v>0.91120000942963886</v>
      </c>
      <c r="F24">
        <v>7.4959447482608414E-3</v>
      </c>
      <c r="G24">
        <v>-0.1133</v>
      </c>
      <c r="H24">
        <v>0.36802534414466492</v>
      </c>
      <c r="I24" s="19">
        <f>1/2*BASE!$F$4*(BASE!$F$5^2)*(B24+B23)/2000*E24*0.1</f>
        <v>5.0922774952441801</v>
      </c>
      <c r="J24" s="19">
        <f>1/2*BASE!$F$4*(BASE!$F$5^2)*(B24+B23)/2000*F24*0.1</f>
        <v>4.1891385373289999E-2</v>
      </c>
    </row>
    <row r="25" spans="1:10" x14ac:dyDescent="1.1000000000000001">
      <c r="A25">
        <v>2100</v>
      </c>
      <c r="B25">
        <v>700</v>
      </c>
      <c r="C25" s="19">
        <f>4*$M$3*10^3*100*0.001*SQRT(1-4*A25^2/(BASE!$L$13*BASE!$L$13*4))/(PI()*BASE!$L$13*2)</f>
        <v>5.05354856120604</v>
      </c>
      <c r="D25" s="16">
        <v>0.41085920335812198</v>
      </c>
      <c r="E25">
        <v>0.91082177643564377</v>
      </c>
      <c r="F25">
        <v>7.4940274381530324E-3</v>
      </c>
      <c r="G25">
        <v>-0.1133</v>
      </c>
      <c r="H25">
        <v>0.36808460645708813</v>
      </c>
      <c r="I25" s="19">
        <f>1/2*BASE!$F$4*(BASE!$F$5^2)*(B25+B24)/2000*E25*0.1</f>
        <v>5.090163725113201</v>
      </c>
      <c r="J25" s="19">
        <f>1/2*BASE!$F$4*(BASE!$F$5^2)*(B25+B24)/2000*F25*0.1</f>
        <v>4.1880670409492414E-2</v>
      </c>
    </row>
    <row r="26" spans="1:10" x14ac:dyDescent="1.1000000000000001">
      <c r="A26">
        <v>2200</v>
      </c>
      <c r="B26">
        <v>700</v>
      </c>
      <c r="C26" s="19">
        <f>4*$M$3*10^3*100*0.001*SQRT(1-4*A26^2/(BASE!$L$13*BASE!$L$13*4))/(PI()*BASE!$L$13*2)</f>
        <v>5.0440421290011992</v>
      </c>
      <c r="D26" s="16">
        <v>0.4146993190248906</v>
      </c>
      <c r="E26">
        <v>0.91040512388579942</v>
      </c>
      <c r="F26">
        <v>7.49191537453631E-3</v>
      </c>
      <c r="G26">
        <v>-0.1133</v>
      </c>
      <c r="H26">
        <v>0.36814988842342322</v>
      </c>
      <c r="I26" s="19">
        <f>1/2*BASE!$F$4*(BASE!$F$5^2)*(B26+B25)/2000*E26*0.1</f>
        <v>5.0878352457662395</v>
      </c>
      <c r="J26" s="19">
        <f>1/2*BASE!$F$4*(BASE!$F$5^2)*(B26+B25)/2000*F26*0.1</f>
        <v>4.1868867057964033E-2</v>
      </c>
    </row>
    <row r="27" spans="1:10" x14ac:dyDescent="1.1000000000000001">
      <c r="A27">
        <v>2300</v>
      </c>
      <c r="B27">
        <v>700</v>
      </c>
      <c r="C27" s="19">
        <f>4*$M$3*10^3*100*0.001*SQRT(1-4*A27^2/(BASE!$L$13*BASE!$L$13*4))/(PI()*BASE!$L$13*2)</f>
        <v>5.0340743131952008</v>
      </c>
      <c r="D27" s="16">
        <v>0.41880322552796551</v>
      </c>
      <c r="E27">
        <v>0.90995985003021573</v>
      </c>
      <c r="F27">
        <v>7.4896582259596188E-3</v>
      </c>
      <c r="G27">
        <v>-0.1133</v>
      </c>
      <c r="H27">
        <v>0.36821965483397551</v>
      </c>
      <c r="I27" s="19">
        <f>1/2*BASE!$F$4*(BASE!$F$5^2)*(B27+B26)/2000*E27*0.1</f>
        <v>5.0853468151137546</v>
      </c>
      <c r="J27" s="19">
        <f>1/2*BASE!$F$4*(BASE!$F$5^2)*(B27+B26)/2000*F27*0.1</f>
        <v>4.185625289336619E-2</v>
      </c>
    </row>
    <row r="28" spans="1:10" x14ac:dyDescent="1.1000000000000001">
      <c r="A28">
        <v>2400</v>
      </c>
      <c r="B28">
        <v>700</v>
      </c>
      <c r="C28" s="19">
        <f>4*$M$3*10^3*100*0.001*SQRT(1-4*A28^2/(BASE!$L$13*BASE!$L$13*4))/(PI()*BASE!$L$13*2)</f>
        <v>5.0236423673830481</v>
      </c>
      <c r="D28" s="16">
        <v>0.42312414615928551</v>
      </c>
      <c r="E28">
        <v>0.9094910301417175</v>
      </c>
      <c r="F28">
        <v>7.4872817196123924E-3</v>
      </c>
      <c r="G28">
        <v>-0.1133</v>
      </c>
      <c r="H28">
        <v>0.36829311048470792</v>
      </c>
      <c r="I28" s="19">
        <f>1/2*BASE!$F$4*(BASE!$F$5^2)*(B28+B27)/2000*E28*0.1</f>
        <v>5.0827267965197942</v>
      </c>
      <c r="J28" s="19">
        <f>1/2*BASE!$F$4*(BASE!$F$5^2)*(B28+B27)/2000*F28*0.1</f>
        <v>4.1842971693120304E-2</v>
      </c>
    </row>
    <row r="29" spans="1:10" x14ac:dyDescent="1.1000000000000001">
      <c r="A29">
        <v>2500</v>
      </c>
      <c r="B29">
        <v>700</v>
      </c>
      <c r="C29" s="19">
        <f>4*$M$3*10^3*100*0.001*SQRT(1-4*A29^2/(BASE!$L$13*BASE!$L$13*4))/(PI()*BASE!$L$13*2)</f>
        <v>5.0127433938833983</v>
      </c>
      <c r="D29" s="16">
        <v>0.42790370307037717</v>
      </c>
      <c r="E29">
        <v>0.90897244821686407</v>
      </c>
      <c r="F29">
        <v>7.4846529633112923E-3</v>
      </c>
      <c r="G29">
        <v>-0.1133</v>
      </c>
      <c r="H29">
        <v>0.36837436295219639</v>
      </c>
      <c r="I29" s="19">
        <f>1/2*BASE!$F$4*(BASE!$F$5^2)*(B29+B28)/2000*E29*0.1</f>
        <v>5.0798286808064015</v>
      </c>
      <c r="J29" s="19">
        <f>1/2*BASE!$F$4*(BASE!$F$5^2)*(B29+B28)/2000*F29*0.1</f>
        <v>4.1828280783974076E-2</v>
      </c>
    </row>
    <row r="30" spans="1:10" x14ac:dyDescent="1.1000000000000001">
      <c r="A30">
        <v>2600</v>
      </c>
      <c r="B30">
        <v>700</v>
      </c>
      <c r="C30" s="19">
        <f>4*$M$3*10^3*100*0.001*SQRT(1-4*A30^2/(BASE!$L$13*BASE!$L$13*4))/(PI()*BASE!$L$13*2)</f>
        <v>5.0013743394629833</v>
      </c>
      <c r="D30" s="16">
        <v>0.4329935982948252</v>
      </c>
      <c r="E30">
        <v>0.90842019458501155</v>
      </c>
      <c r="F30">
        <v>7.4818535209378459E-3</v>
      </c>
      <c r="G30">
        <v>-0.1133</v>
      </c>
      <c r="H30">
        <v>0.36846089117101211</v>
      </c>
      <c r="I30" s="19">
        <f>1/2*BASE!$F$4*(BASE!$F$5^2)*(B30+B29)/2000*E30*0.1</f>
        <v>5.0767423894191683</v>
      </c>
      <c r="J30" s="19">
        <f>1/2*BASE!$F$4*(BASE!$F$5^2)*(B30+B29)/2000*F30*0.1</f>
        <v>4.1812635988923583E-2</v>
      </c>
    </row>
    <row r="31" spans="1:10" x14ac:dyDescent="1.1000000000000001">
      <c r="A31">
        <v>2700</v>
      </c>
      <c r="B31">
        <v>700</v>
      </c>
      <c r="C31" s="19">
        <f>4*$M$3*10^3*100*0.001*SQRT(1-4*A31^2/(BASE!$L$13*BASE!$L$13*4))/(PI()*BASE!$L$13*2)</f>
        <v>4.9895319907700157</v>
      </c>
      <c r="D31" s="16">
        <v>0.43836038028374602</v>
      </c>
      <c r="E31">
        <v>0.90783789873921361</v>
      </c>
      <c r="F31">
        <v>7.4789017908439394E-3</v>
      </c>
      <c r="G31">
        <v>-0.1133</v>
      </c>
      <c r="H31">
        <v>0.36855212646482371</v>
      </c>
      <c r="I31" s="19">
        <f>1/2*BASE!$F$4*(BASE!$F$5^2)*(B31+B30)/2000*E31*0.1</f>
        <v>5.0734882059243862</v>
      </c>
      <c r="J31" s="19">
        <f>1/2*BASE!$F$4*(BASE!$F$5^2)*(B31+B30)/2000*F31*0.1</f>
        <v>4.1796140127890125E-2</v>
      </c>
    </row>
    <row r="32" spans="1:10" x14ac:dyDescent="1.1000000000000001">
      <c r="A32">
        <v>2800</v>
      </c>
      <c r="B32">
        <v>700</v>
      </c>
      <c r="C32" s="19">
        <f>4*$M$3*10^3*100*0.001*SQRT(1-4*A32^2/(BASE!$L$13*BASE!$L$13*4))/(PI()*BASE!$L$13*2)</f>
        <v>4.9772129694596607</v>
      </c>
      <c r="D32" s="16">
        <v>0.44433068805102782</v>
      </c>
      <c r="E32">
        <v>0.90719012034646351</v>
      </c>
      <c r="F32">
        <v>7.4756181215719347E-3</v>
      </c>
      <c r="G32">
        <v>-0.1133</v>
      </c>
      <c r="H32">
        <v>0.3686536216968675</v>
      </c>
      <c r="I32" s="19">
        <f>1/2*BASE!$F$4*(BASE!$F$5^2)*(B32+B31)/2000*E32*0.1</f>
        <v>5.0698680706114247</v>
      </c>
      <c r="J32" s="19">
        <f>1/2*BASE!$F$4*(BASE!$F$5^2)*(B32+B31)/2000*F32*0.1</f>
        <v>4.1777789211557143E-2</v>
      </c>
    </row>
    <row r="33" spans="1:10" x14ac:dyDescent="1.1000000000000001">
      <c r="A33">
        <v>2900</v>
      </c>
      <c r="B33">
        <v>700</v>
      </c>
      <c r="C33" s="19">
        <f>4*$M$3*10^3*100*0.001*SQRT(1-4*A33^2/(BASE!$L$13*BASE!$L$13*4))/(PI()*BASE!$L$13*2)</f>
        <v>4.9644137269932465</v>
      </c>
      <c r="D33" s="16">
        <v>0.45069558595444759</v>
      </c>
      <c r="E33">
        <v>0.90649952892394248</v>
      </c>
      <c r="F33">
        <v>7.4721174277250536E-3</v>
      </c>
      <c r="G33">
        <v>-0.1133</v>
      </c>
      <c r="H33">
        <v>0.36876182496122561</v>
      </c>
      <c r="I33" s="19">
        <f>1/2*BASE!$F$4*(BASE!$F$5^2)*(B33+B32)/2000*E33*0.1</f>
        <v>5.0660086729787217</v>
      </c>
      <c r="J33" s="19">
        <f>1/2*BASE!$F$4*(BASE!$F$5^2)*(B33+B32)/2000*F33*0.1</f>
        <v>4.1758225444755416E-2</v>
      </c>
    </row>
    <row r="34" spans="1:10" x14ac:dyDescent="1.1000000000000001">
      <c r="A34">
        <v>3000</v>
      </c>
      <c r="B34">
        <v>700</v>
      </c>
      <c r="C34" s="19">
        <f>4*$M$3*10^3*100*0.001*SQRT(1-4*A34^2/(BASE!$L$13*BASE!$L$13*4))/(PI()*BASE!$L$13*2)</f>
        <v>4.9511305390912428</v>
      </c>
      <c r="D34" s="16">
        <v>0.45743174694566069</v>
      </c>
      <c r="E34">
        <v>0.90576865545639584</v>
      </c>
      <c r="F34">
        <v>7.4684125391798863E-3</v>
      </c>
      <c r="G34">
        <v>-0.1133</v>
      </c>
      <c r="H34">
        <v>0.36887633969807632</v>
      </c>
      <c r="I34" s="19">
        <f>1/2*BASE!$F$4*(BASE!$F$5^2)*(B34+B33)/2000*E34*0.1</f>
        <v>5.0619241575351923</v>
      </c>
      <c r="J34" s="19">
        <f>1/2*BASE!$F$4*(BASE!$F$5^2)*(B34+B33)/2000*F34*0.1</f>
        <v>4.1737520527760572E-2</v>
      </c>
    </row>
    <row r="35" spans="1:10" x14ac:dyDescent="1.1000000000000001">
      <c r="A35">
        <v>3100</v>
      </c>
      <c r="B35">
        <v>700</v>
      </c>
      <c r="C35" s="19">
        <f>4*$M$3*10^3*100*0.001*SQRT(1-4*A35^2/(BASE!$L$13*BASE!$L$13*4))/(PI()*BASE!$L$13*2)</f>
        <v>4.9373594998183359</v>
      </c>
      <c r="D35" s="16">
        <v>0.46498151954200312</v>
      </c>
      <c r="E35">
        <v>0.90494950512969263</v>
      </c>
      <c r="F35">
        <v>7.464260164251898E-3</v>
      </c>
      <c r="G35">
        <v>-0.1133</v>
      </c>
      <c r="H35">
        <v>0.36900468583221407</v>
      </c>
      <c r="I35" s="19">
        <f>1/2*BASE!$F$4*(BASE!$F$5^2)*(B35+B34)/2000*E35*0.1</f>
        <v>5.0573463033530972</v>
      </c>
      <c r="J35" s="19">
        <f>1/2*BASE!$F$4*(BASE!$F$5^2)*(B35+B34)/2000*F35*0.1</f>
        <v>4.1714314815316775E-2</v>
      </c>
    </row>
    <row r="36" spans="1:10" x14ac:dyDescent="1.1000000000000001">
      <c r="A36">
        <v>3200</v>
      </c>
      <c r="B36">
        <v>700</v>
      </c>
      <c r="C36" s="19">
        <f>4*$M$3*10^3*100*0.001*SQRT(1-4*A36^2/(BASE!$L$13*BASE!$L$13*4))/(PI()*BASE!$L$13*2)</f>
        <v>4.9230965152769723</v>
      </c>
      <c r="D36" s="16">
        <v>0.47308454935072553</v>
      </c>
      <c r="E36">
        <v>0.90407032639544627</v>
      </c>
      <c r="F36">
        <v>7.4598034978571011E-3</v>
      </c>
      <c r="G36">
        <v>-0.1133</v>
      </c>
      <c r="H36">
        <v>0.36914243733896229</v>
      </c>
      <c r="I36" s="19">
        <f>1/2*BASE!$F$4*(BASE!$F$5^2)*(B36+B35)/2000*E36*0.1</f>
        <v>5.0524329780278459</v>
      </c>
      <c r="J36" s="19">
        <f>1/2*BASE!$F$4*(BASE!$F$5^2)*(B36+B35)/2000*F36*0.1</f>
        <v>4.1689408557907669E-2</v>
      </c>
    </row>
    <row r="37" spans="1:10" x14ac:dyDescent="1.1000000000000001">
      <c r="A37">
        <v>3300</v>
      </c>
      <c r="B37">
        <v>700</v>
      </c>
      <c r="C37" s="19">
        <f>4*$M$3*10^3*100*0.001*SQRT(1-4*A37^2/(BASE!$L$13*BASE!$L$13*4))/(PI()*BASE!$L$13*2)</f>
        <v>4.908337296883702</v>
      </c>
      <c r="D37" s="16">
        <v>0.48171945242328013</v>
      </c>
      <c r="E37">
        <v>0.90313343941207413</v>
      </c>
      <c r="F37">
        <v>7.4550543011671954E-3</v>
      </c>
      <c r="G37">
        <v>-0.1133</v>
      </c>
      <c r="H37">
        <v>0.36928923069119579</v>
      </c>
      <c r="I37" s="19">
        <f>1/2*BASE!$F$4*(BASE!$F$5^2)*(B37+B36)/2000*E37*0.1</f>
        <v>5.0471971478570374</v>
      </c>
      <c r="J37" s="19">
        <f>1/2*BASE!$F$4*(BASE!$F$5^2)*(B37+B36)/2000*F37*0.1</f>
        <v>4.1662867483309093E-2</v>
      </c>
    </row>
    <row r="38" spans="1:10" x14ac:dyDescent="1.1000000000000001">
      <c r="A38">
        <v>3400</v>
      </c>
      <c r="B38">
        <v>700</v>
      </c>
      <c r="C38" s="19">
        <f>4*$M$3*10^3*100*0.001*SQRT(1-4*A38^2/(BASE!$L$13*BASE!$L$13*4))/(PI()*BASE!$L$13*2)</f>
        <v>4.8930773542003605</v>
      </c>
      <c r="D38" s="16">
        <v>0.49149369406292542</v>
      </c>
      <c r="E38">
        <v>0.90207293419417256</v>
      </c>
      <c r="F38">
        <v>7.4496784682653904E-3</v>
      </c>
      <c r="G38">
        <v>-0.1133</v>
      </c>
      <c r="H38">
        <v>0.36945539279906969</v>
      </c>
      <c r="I38" s="19">
        <f>1/2*BASE!$F$4*(BASE!$F$5^2)*(B38+B37)/2000*E38*0.1</f>
        <v>5.0412704722657038</v>
      </c>
      <c r="J38" s="19">
        <f>1/2*BASE!$F$4*(BASE!$F$5^2)*(B38+B37)/2000*F38*0.1</f>
        <v>4.163282442731616E-2</v>
      </c>
    </row>
    <row r="39" spans="1:10" x14ac:dyDescent="1.1000000000000001">
      <c r="A39">
        <v>3500</v>
      </c>
      <c r="B39">
        <v>700</v>
      </c>
      <c r="C39" s="19">
        <f>4*$M$3*10^3*100*0.001*SQRT(1-4*A39^2/(BASE!$L$13*BASE!$L$13*4))/(PI()*BASE!$L$13*2)</f>
        <v>4.8773119872895832</v>
      </c>
      <c r="D39" s="16">
        <v>0.5021460126375672</v>
      </c>
      <c r="E39">
        <v>0.90091715762882396</v>
      </c>
      <c r="F39">
        <v>7.4438196930493366E-3</v>
      </c>
      <c r="G39">
        <v>-0.1133</v>
      </c>
      <c r="H39">
        <v>0.36963648221483858</v>
      </c>
      <c r="I39" s="19">
        <f>1/2*BASE!$F$4*(BASE!$F$5^2)*(B39+B38)/2000*E39*0.1</f>
        <v>5.0348113689597902</v>
      </c>
      <c r="J39" s="19">
        <f>1/2*BASE!$F$4*(BASE!$F$5^2)*(B39+B38)/2000*F39*0.1</f>
        <v>4.1600082428991242E-2</v>
      </c>
    </row>
    <row r="40" spans="1:10" x14ac:dyDescent="1.1000000000000001">
      <c r="A40">
        <v>3600</v>
      </c>
      <c r="B40">
        <v>700</v>
      </c>
      <c r="C40" s="19">
        <f>4*$M$3*10^3*100*0.001*SQRT(1-4*A40^2/(BASE!$L$13*BASE!$L$13*4))/(PI()*BASE!$L$13*2)</f>
        <v>4.8610362785614321</v>
      </c>
      <c r="D40" s="16">
        <v>0.51363876411713882</v>
      </c>
      <c r="E40">
        <v>0.89967019409329041</v>
      </c>
      <c r="F40">
        <v>7.4374986797355732E-3</v>
      </c>
      <c r="G40">
        <v>-0.1133</v>
      </c>
      <c r="H40">
        <v>0.36983185898999138</v>
      </c>
      <c r="I40" s="19">
        <f>1/2*BASE!$F$4*(BASE!$F$5^2)*(B40+B39)/2000*E40*0.1</f>
        <v>5.0278426636440798</v>
      </c>
      <c r="J40" s="19">
        <f>1/2*BASE!$F$4*(BASE!$F$5^2)*(B40+B39)/2000*F40*0.1</f>
        <v>4.1564757194671981E-2</v>
      </c>
    </row>
    <row r="41" spans="1:10" x14ac:dyDescent="1.1000000000000001">
      <c r="A41">
        <v>3700</v>
      </c>
      <c r="B41">
        <v>700</v>
      </c>
      <c r="C41" s="19">
        <f>4*$M$3*10^3*100*0.001*SQRT(1-4*A41^2/(BASE!$L$13*BASE!$L$13*4))/(PI()*BASE!$L$13*2)</f>
        <v>4.8442450840748696</v>
      </c>
      <c r="D41" s="16">
        <v>0.5268355315819786</v>
      </c>
      <c r="E41">
        <v>0.89823834482335529</v>
      </c>
      <c r="F41">
        <v>7.4302404576299117E-3</v>
      </c>
      <c r="G41">
        <v>-0.1133</v>
      </c>
      <c r="H41">
        <v>0.37005620403689371</v>
      </c>
      <c r="I41" s="19">
        <f>1/2*BASE!$F$4*(BASE!$F$5^2)*(B41+B40)/2000*E41*0.1</f>
        <v>5.0198407170479244</v>
      </c>
      <c r="J41" s="19">
        <f>1/2*BASE!$F$4*(BASE!$F$5^2)*(B41+B40)/2000*F41*0.1</f>
        <v>4.1524194331742169E-2</v>
      </c>
    </row>
    <row r="42" spans="1:10" x14ac:dyDescent="1.1000000000000001">
      <c r="A42">
        <v>3800</v>
      </c>
      <c r="B42">
        <v>700</v>
      </c>
      <c r="C42" s="19">
        <f>4*$M$3*10^3*100*0.001*SQRT(1-4*A42^2/(BASE!$L$13*BASE!$L$13*4))/(PI()*BASE!$L$13*2)</f>
        <v>4.8269330242544459</v>
      </c>
      <c r="D42" s="16">
        <v>0.5416914643298979</v>
      </c>
      <c r="E42">
        <v>0.89662647612020607</v>
      </c>
      <c r="F42">
        <v>7.4220696946185561E-3</v>
      </c>
      <c r="G42">
        <v>-0.1133</v>
      </c>
      <c r="H42">
        <v>0.37030875489360832</v>
      </c>
      <c r="I42" s="19">
        <f>1/2*BASE!$F$4*(BASE!$F$5^2)*(B42+B41)/2000*E42*0.1</f>
        <v>5.0108327246890649</v>
      </c>
      <c r="J42" s="19">
        <f>1/2*BASE!$F$4*(BASE!$F$5^2)*(B42+B41)/2000*F42*0.1</f>
        <v>4.1478531697664994E-2</v>
      </c>
    </row>
    <row r="43" spans="1:10" x14ac:dyDescent="1.1000000000000001">
      <c r="A43">
        <v>3900</v>
      </c>
      <c r="B43">
        <v>700</v>
      </c>
      <c r="C43" s="19">
        <f>4*$M$3*10^3*100*0.001*SQRT(1-4*A43^2/(BASE!$L$13*BASE!$L$13*4))/(PI()*BASE!$L$13*2)</f>
        <v>4.8090944739788855</v>
      </c>
      <c r="D43" s="16">
        <v>0.55813114189653712</v>
      </c>
      <c r="E43">
        <v>0.89484277110422572</v>
      </c>
      <c r="F43">
        <v>7.4130278719569042E-3</v>
      </c>
      <c r="G43">
        <v>-0.1133</v>
      </c>
      <c r="H43">
        <v>0.37058822941224112</v>
      </c>
      <c r="I43" s="19">
        <f>1/2*BASE!$F$4*(BASE!$F$5^2)*(B43+B42)/2000*E43*0.1</f>
        <v>5.0008644182612407</v>
      </c>
      <c r="J43" s="19">
        <f>1/2*BASE!$F$4*(BASE!$F$5^2)*(B43+B42)/2000*F43*0.1</f>
        <v>4.1428001112086166E-2</v>
      </c>
    </row>
    <row r="44" spans="1:10" x14ac:dyDescent="1.1000000000000001">
      <c r="A44">
        <v>4000</v>
      </c>
      <c r="B44">
        <v>700</v>
      </c>
      <c r="C44" s="19">
        <f>4*$M$3*10^3*100*0.001*SQRT(1-4*A44^2/(BASE!$L$13*BASE!$L$13*4))/(PI()*BASE!$L$13*2)</f>
        <v>4.7907235519941862</v>
      </c>
      <c r="D44" s="16">
        <v>0.57750354439693263</v>
      </c>
      <c r="E44">
        <v>0.89274086543293285</v>
      </c>
      <c r="F44">
        <v>7.4023730505816867E-3</v>
      </c>
      <c r="G44">
        <v>-0.1133</v>
      </c>
      <c r="H44">
        <v>0.37091756025474792</v>
      </c>
      <c r="I44" s="19">
        <f>1/2*BASE!$F$4*(BASE!$F$5^2)*(B44+B43)/2000*E44*0.1</f>
        <v>4.9891178348149232</v>
      </c>
      <c r="J44" s="19">
        <f>1/2*BASE!$F$4*(BASE!$F$5^2)*(B44+B43)/2000*F44*0.1</f>
        <v>4.1368456219040312E-2</v>
      </c>
    </row>
    <row r="45" spans="1:10" x14ac:dyDescent="1.1000000000000001">
      <c r="A45">
        <v>4100</v>
      </c>
      <c r="B45">
        <v>700</v>
      </c>
      <c r="C45" s="19">
        <f>4*$M$3*10^3*100*0.001*SQRT(1-4*A45^2/(BASE!$L$13*BASE!$L$13*4))/(PI()*BASE!$L$13*2)</f>
        <v>4.7718141095992825</v>
      </c>
      <c r="D45" s="16">
        <v>0.60144005863741357</v>
      </c>
      <c r="E45">
        <v>0.89014159354988454</v>
      </c>
      <c r="F45">
        <v>7.3892799706812926E-3</v>
      </c>
      <c r="G45">
        <v>-0.1133</v>
      </c>
      <c r="H45">
        <v>0.37132448099683613</v>
      </c>
      <c r="I45" s="19">
        <f>1/2*BASE!$F$4*(BASE!$F$5^2)*(B45+B44)/2000*E45*0.1</f>
        <v>4.9745917005117057</v>
      </c>
      <c r="J45" s="19">
        <f>1/2*BASE!$F$4*(BASE!$F$5^2)*(B45+B44)/2000*F45*0.1</f>
        <v>4.1295285021245937E-2</v>
      </c>
    </row>
    <row r="46" spans="1:10" x14ac:dyDescent="1.1000000000000001">
      <c r="A46">
        <v>4200</v>
      </c>
      <c r="B46">
        <v>700</v>
      </c>
      <c r="C46" s="19">
        <f>4*$M$3*10^3*100*0.001*SQRT(1-4*A46^2/(BASE!$L$13*BASE!$L$13*4))/(PI()*BASE!$L$13*2)</f>
        <v>4.7523597185473285</v>
      </c>
      <c r="D46" s="16">
        <v>0.61454896324344344</v>
      </c>
      <c r="E46">
        <v>0.88869961404322118</v>
      </c>
      <c r="F46">
        <v>7.3827255183782784E-3</v>
      </c>
      <c r="G46">
        <v>-0.1133</v>
      </c>
      <c r="H46">
        <v>0.37154733237513848</v>
      </c>
      <c r="I46" s="19">
        <f>1/2*BASE!$F$4*(BASE!$F$5^2)*(B46+B45)/2000*E46*0.1</f>
        <v>4.9665331406846684</v>
      </c>
      <c r="J46" s="19">
        <f>1/2*BASE!$F$4*(BASE!$F$5^2)*(B46+B45)/2000*F46*0.1</f>
        <v>4.1258655203850324E-2</v>
      </c>
    </row>
    <row r="47" spans="1:10" x14ac:dyDescent="1.1000000000000001">
      <c r="A47">
        <v>4300</v>
      </c>
      <c r="B47">
        <v>698.51851851851848</v>
      </c>
      <c r="C47" s="19">
        <f>4*$M$3*10^3*100*0.001*SQRT(1-4*A47^2/(BASE!$L$13*BASE!$L$13*4))/(PI()*BASE!$L$13*2)</f>
        <v>4.7323536581000738</v>
      </c>
      <c r="D47" s="16">
        <v>0.59663612678776667</v>
      </c>
      <c r="E47">
        <v>0.88461503178094958</v>
      </c>
      <c r="F47">
        <v>7.3634215318260686E-3</v>
      </c>
      <c r="G47">
        <v>-0.11274814814814819</v>
      </c>
      <c r="H47">
        <v>0.37156245524022963</v>
      </c>
      <c r="I47" s="19">
        <f>1/2*BASE!$F$4*(BASE!$F$5^2)*(B47+B46)/2000*E47*0.1</f>
        <v>4.9384748550218713</v>
      </c>
      <c r="J47" s="19">
        <f>1/2*BASE!$F$4*(BASE!$F$5^2)*(B47+B46)/2000*F47*0.1</f>
        <v>4.1107228314490395E-2</v>
      </c>
    </row>
    <row r="48" spans="1:10" x14ac:dyDescent="1.1000000000000001">
      <c r="A48">
        <v>4400</v>
      </c>
      <c r="B48">
        <v>697.03703703703707</v>
      </c>
      <c r="C48" s="19">
        <f>4*$M$3*10^3*100*0.001*SQRT(1-4*A48^2/(BASE!$L$13*BASE!$L$13*4))/(PI()*BASE!$L$13*2)</f>
        <v>4.7117889011665754</v>
      </c>
      <c r="D48" s="16">
        <v>0.57390079316729536</v>
      </c>
      <c r="E48">
        <v>0.88106061185013118</v>
      </c>
      <c r="F48">
        <v>7.3465912651911021E-3</v>
      </c>
      <c r="G48">
        <v>-0.11219629629629629</v>
      </c>
      <c r="H48">
        <v>0.37149497094017059</v>
      </c>
      <c r="I48" s="19">
        <f>1/2*BASE!$F$4*(BASE!$F$5^2)*(B48+B47)/2000*E48*0.1</f>
        <v>4.9082110277795099</v>
      </c>
      <c r="J48" s="19">
        <f>1/2*BASE!$F$4*(BASE!$F$5^2)*(B48+B47)/2000*F48*0.1</f>
        <v>4.0926378706999986E-2</v>
      </c>
    </row>
    <row r="49" spans="1:10" x14ac:dyDescent="1.1000000000000001">
      <c r="A49">
        <v>4500</v>
      </c>
      <c r="B49">
        <v>695.55555555555554</v>
      </c>
      <c r="C49" s="19">
        <f>4*$M$3*10^3*100*0.001*SQRT(1-4*A49^2/(BASE!$L$13*BASE!$L$13*4))/(PI()*BASE!$L$13*2)</f>
        <v>4.690658099450582</v>
      </c>
      <c r="D49" s="16">
        <v>0.55229053580798415</v>
      </c>
      <c r="E49">
        <v>0.87738224618238436</v>
      </c>
      <c r="F49">
        <v>7.3292359300657084E-3</v>
      </c>
      <c r="G49">
        <v>-0.11164444444444439</v>
      </c>
      <c r="H49">
        <v>0.37144623824014977</v>
      </c>
      <c r="I49" s="19">
        <f>1/2*BASE!$F$4*(BASE!$F$5^2)*(B49+B48)/2000*E49*0.1</f>
        <v>4.8773422703030427</v>
      </c>
      <c r="J49" s="19">
        <f>1/2*BASE!$F$4*(BASE!$F$5^2)*(B49+B48)/2000*F49*0.1</f>
        <v>4.0743008382349261E-2</v>
      </c>
    </row>
    <row r="50" spans="1:10" x14ac:dyDescent="1.1000000000000001">
      <c r="A50">
        <v>4600</v>
      </c>
      <c r="B50">
        <v>694.07407407407402</v>
      </c>
      <c r="C50" s="19">
        <f>4*$M$3*10^3*100*0.001*SQRT(1-4*A50^2/(BASE!$L$13*BASE!$L$13*4))/(PI()*BASE!$L$13*2)</f>
        <v>4.6689535675232001</v>
      </c>
      <c r="D50" s="16">
        <v>0.53331938064189588</v>
      </c>
      <c r="E50">
        <v>0.87341374123379378</v>
      </c>
      <c r="F50">
        <v>7.3105286517615416E-3</v>
      </c>
      <c r="G50">
        <v>-0.1110925925925926</v>
      </c>
      <c r="H50">
        <v>0.3714426941982355</v>
      </c>
      <c r="I50" s="19">
        <f>1/2*BASE!$F$4*(BASE!$F$5^2)*(B50+B49)/2000*E50*0.1</f>
        <v>4.8449510811490102</v>
      </c>
      <c r="J50" s="19">
        <f>1/2*BASE!$F$4*(BASE!$F$5^2)*(B50+B49)/2000*F50*0.1</f>
        <v>4.0552549179143221E-2</v>
      </c>
    </row>
    <row r="51" spans="1:10" x14ac:dyDescent="1.1000000000000001">
      <c r="A51">
        <v>4700</v>
      </c>
      <c r="B51">
        <v>692.59259259259261</v>
      </c>
      <c r="C51" s="19">
        <f>4*$M$3*10^3*100*0.001*SQRT(1-4*A51^2/(BASE!$L$13*BASE!$L$13*4))/(PI()*BASE!$L$13*2)</f>
        <v>4.6466672657287784</v>
      </c>
      <c r="D51" s="16">
        <v>0.51743096097299646</v>
      </c>
      <c r="E51">
        <v>0.86910667272881592</v>
      </c>
      <c r="F51">
        <v>7.2901725360481097E-3</v>
      </c>
      <c r="G51">
        <v>-0.1105407407407407</v>
      </c>
      <c r="H51">
        <v>0.37149263135638011</v>
      </c>
      <c r="I51" s="19">
        <f>1/2*BASE!$F$4*(BASE!$F$5^2)*(B51+B50)/2000*E51*0.1</f>
        <v>4.8107797116220645</v>
      </c>
      <c r="J51" s="19">
        <f>1/2*BASE!$F$4*(BASE!$F$5^2)*(B51+B50)/2000*F51*0.1</f>
        <v>4.0353405664839276E-2</v>
      </c>
    </row>
    <row r="52" spans="1:10" x14ac:dyDescent="1.1000000000000001">
      <c r="A52">
        <v>4800</v>
      </c>
      <c r="B52">
        <v>691.11111111111109</v>
      </c>
      <c r="C52" s="19">
        <f>4*$M$3*10^3*100*0.001*SQRT(1-4*A52^2/(BASE!$L$13*BASE!$L$13*4))/(PI()*BASE!$L$13*2)</f>
        <v>4.6237907818222652</v>
      </c>
      <c r="D52" s="16">
        <v>0.50294661146256847</v>
      </c>
      <c r="E52">
        <v>0.86464566334413384</v>
      </c>
      <c r="F52">
        <v>7.2690130177098852E-3</v>
      </c>
      <c r="G52">
        <v>-0.1099888888888889</v>
      </c>
      <c r="H52">
        <v>0.37156745138267422</v>
      </c>
      <c r="I52" s="19">
        <f>1/2*BASE!$F$4*(BASE!$F$5^2)*(B52+B51)/2000*E52*0.1</f>
        <v>4.7758599360396472</v>
      </c>
      <c r="J52" s="19">
        <f>1/2*BASE!$F$4*(BASE!$F$5^2)*(B52+B51)/2000*F52*0.1</f>
        <v>4.0150306093669978E-2</v>
      </c>
    </row>
    <row r="53" spans="1:10" x14ac:dyDescent="1.1000000000000001">
      <c r="A53">
        <v>4900</v>
      </c>
      <c r="B53">
        <v>689.62962962962968</v>
      </c>
      <c r="C53" s="19">
        <f>4*$M$3*10^3*100*0.001*SQRT(1-4*A53^2/(BASE!$L$13*BASE!$L$13*4))/(PI()*BASE!$L$13*2)</f>
        <v>4.6003153112254394</v>
      </c>
      <c r="D53" s="16">
        <v>0.4897645844572216</v>
      </c>
      <c r="E53">
        <v>0.86004203495039477</v>
      </c>
      <c r="F53">
        <v>7.2470750448187377E-3</v>
      </c>
      <c r="G53">
        <v>-0.109437037037037</v>
      </c>
      <c r="H53">
        <v>0.37166568382455861</v>
      </c>
      <c r="I53" s="19">
        <f>1/2*BASE!$F$4*(BASE!$F$5^2)*(B53+B52)/2000*E53*0.1</f>
        <v>4.7402596189600086</v>
      </c>
      <c r="J53" s="19">
        <f>1/2*BASE!$F$4*(BASE!$F$5^2)*(B53+B52)/2000*F53*0.1</f>
        <v>3.9943416477903268E-2</v>
      </c>
    </row>
    <row r="54" spans="1:10" x14ac:dyDescent="1.1000000000000001">
      <c r="A54">
        <v>5000</v>
      </c>
      <c r="B54">
        <v>688.14814814814815</v>
      </c>
      <c r="C54" s="19">
        <f>4*$M$3*10^3*100*0.001*SQRT(1-4*A54^2/(BASE!$L$13*BASE!$L$13*4))/(PI()*BASE!$L$13*2)</f>
        <v>4.5762316357771171</v>
      </c>
      <c r="D54" s="16">
        <v>0.47805764698020847</v>
      </c>
      <c r="E54">
        <v>0.85527697906777067</v>
      </c>
      <c r="F54">
        <v>7.2242330553171042E-3</v>
      </c>
      <c r="G54">
        <v>-0.1088851851851852</v>
      </c>
      <c r="H54">
        <v>0.37179065750688778</v>
      </c>
      <c r="I54" s="19">
        <f>1/2*BASE!$F$4*(BASE!$F$5^2)*(B54+B53)/2000*E54*0.1</f>
        <v>4.7038803774096491</v>
      </c>
      <c r="J54" s="19">
        <f>1/2*BASE!$F$4*(BASE!$F$5^2)*(B54+B53)/2000*F54*0.1</f>
        <v>3.973207386895844E-2</v>
      </c>
    </row>
    <row r="55" spans="1:10" x14ac:dyDescent="1.1000000000000001">
      <c r="A55">
        <v>5100</v>
      </c>
      <c r="B55">
        <v>686.66666666666663</v>
      </c>
      <c r="C55" s="19">
        <f>4*$M$3*10^3*100*0.001*SQRT(1-4*A55^2/(BASE!$L$13*BASE!$L$13*4))/(PI()*BASE!$L$13*2)</f>
        <v>4.5515301008387139</v>
      </c>
      <c r="D55" s="16">
        <v>0.46761636943882878</v>
      </c>
      <c r="E55">
        <v>0.85037362704043074</v>
      </c>
      <c r="F55">
        <v>7.200572946206886E-3</v>
      </c>
      <c r="G55">
        <v>-0.1083333333333333</v>
      </c>
      <c r="H55">
        <v>0.37193900030453042</v>
      </c>
      <c r="I55" s="19">
        <f>1/2*BASE!$F$4*(BASE!$F$5^2)*(B55+B54)/2000*E55*0.1</f>
        <v>4.6668548842236222</v>
      </c>
      <c r="J55" s="19">
        <f>1/2*BASE!$F$4*(BASE!$F$5^2)*(B55+B54)/2000*F55*0.1</f>
        <v>3.9516781747061858E-2</v>
      </c>
    </row>
    <row r="56" spans="1:10" x14ac:dyDescent="1.1000000000000001">
      <c r="A56">
        <v>5200</v>
      </c>
      <c r="B56">
        <v>685.18518518518522</v>
      </c>
      <c r="C56" s="19">
        <f>4*$M$3*10^3*100*0.001*SQRT(1-4*A56^2/(BASE!$L$13*BASE!$L$13*4))/(PI()*BASE!$L$13*2)</f>
        <v>4.5262005906008955</v>
      </c>
      <c r="D56" s="16">
        <v>0.45804546879367908</v>
      </c>
      <c r="E56">
        <v>0.84537545423046523</v>
      </c>
      <c r="F56">
        <v>7.1762935134565779E-3</v>
      </c>
      <c r="G56">
        <v>-0.10778148148148151</v>
      </c>
      <c r="H56">
        <v>0.37210398086132868</v>
      </c>
      <c r="I56" s="19">
        <f>1/2*BASE!$F$4*(BASE!$F$5^2)*(B56+B55)/2000*E56*0.1</f>
        <v>4.6294261253392879</v>
      </c>
      <c r="J56" s="19">
        <f>1/2*BASE!$F$4*(BASE!$F$5^2)*(B56+B55)/2000*F56*0.1</f>
        <v>3.929865778341108E-2</v>
      </c>
    </row>
    <row r="57" spans="1:10" x14ac:dyDescent="1.1000000000000001">
      <c r="A57">
        <v>5300</v>
      </c>
      <c r="B57">
        <v>683.7037037037037</v>
      </c>
      <c r="C57" s="19">
        <f>4*$M$3*10^3*100*0.001*SQRT(1-4*A57^2/(BASE!$L$13*BASE!$L$13*4))/(PI()*BASE!$L$13*2)</f>
        <v>4.5002325014194957</v>
      </c>
      <c r="D57" s="16">
        <v>0.44931144489579122</v>
      </c>
      <c r="E57">
        <v>0.84028622871459613</v>
      </c>
      <c r="F57">
        <v>7.1513948950736273E-3</v>
      </c>
      <c r="G57">
        <v>-0.10722962962962961</v>
      </c>
      <c r="H57">
        <v>0.37228519579542058</v>
      </c>
      <c r="I57" s="19">
        <f>1/2*BASE!$F$4*(BASE!$F$5^2)*(B57+B56)/2000*E57*0.1</f>
        <v>4.5916180553528179</v>
      </c>
      <c r="J57" s="19">
        <f>1/2*BASE!$F$4*(BASE!$F$5^2)*(B57+B56)/2000*F57*0.1</f>
        <v>3.9077724707459148E-2</v>
      </c>
    </row>
    <row r="58" spans="1:10" x14ac:dyDescent="1.1000000000000001">
      <c r="A58">
        <v>5400</v>
      </c>
      <c r="B58">
        <v>682.22222222222217</v>
      </c>
      <c r="C58" s="19">
        <f>4*$M$3*10^3*100*0.001*SQRT(1-4*A58^2/(BASE!$L$13*BASE!$L$13*4))/(PI()*BASE!$L$13*2)</f>
        <v>4.4736147129888497</v>
      </c>
      <c r="D58" s="16">
        <v>0.44166670266481611</v>
      </c>
      <c r="E58">
        <v>0.83507839111793114</v>
      </c>
      <c r="F58">
        <v>7.1257098553442998E-3</v>
      </c>
      <c r="G58">
        <v>-0.1066777777777778</v>
      </c>
      <c r="H58">
        <v>0.37248734632297931</v>
      </c>
      <c r="I58" s="19">
        <f>1/2*BASE!$F$4*(BASE!$F$5^2)*(B58+B57)/2000*E58*0.1</f>
        <v>4.5532836369594056</v>
      </c>
      <c r="J58" s="19">
        <f>1/2*BASE!$F$4*(BASE!$F$5^2)*(B58+B57)/2000*F58*0.1</f>
        <v>3.8853092633165248E-2</v>
      </c>
    </row>
    <row r="59" spans="1:10" x14ac:dyDescent="1.1000000000000001">
      <c r="A59">
        <v>5500</v>
      </c>
      <c r="B59">
        <v>680.74074074074076</v>
      </c>
      <c r="C59" s="19">
        <f>4*$M$3*10^3*100*0.001*SQRT(1-4*A59^2/(BASE!$L$13*BASE!$L$13*4))/(PI()*BASE!$L$13*2)</f>
        <v>4.4463355571380001</v>
      </c>
      <c r="D59" s="16">
        <v>0.43481554048674448</v>
      </c>
      <c r="E59">
        <v>0.82978444727445644</v>
      </c>
      <c r="F59">
        <v>7.0993905137865737E-3</v>
      </c>
      <c r="G59">
        <v>-0.1061259259259259</v>
      </c>
      <c r="H59">
        <v>0.37270536282945671</v>
      </c>
      <c r="I59" s="19">
        <f>1/2*BASE!$F$4*(BASE!$F$5^2)*(B59+B58)/2000*E59*0.1</f>
        <v>4.5146039331690329</v>
      </c>
      <c r="J59" s="19">
        <f>1/2*BASE!$F$4*(BASE!$F$5^2)*(B59+B58)/2000*F59*0.1</f>
        <v>3.8625617100826105E-2</v>
      </c>
    </row>
    <row r="60" spans="1:10" x14ac:dyDescent="1.1000000000000001">
      <c r="A60">
        <v>5600</v>
      </c>
      <c r="B60">
        <v>679.25925925925924</v>
      </c>
      <c r="C60" s="19">
        <f>4*$M$3*10^3*100*0.001*SQRT(1-4*A60^2/(BASE!$L$13*BASE!$L$13*4))/(PI()*BASE!$L$13*2)</f>
        <v>4.4183827840093874</v>
      </c>
      <c r="D60" s="16">
        <v>0.42865668765493842</v>
      </c>
      <c r="E60">
        <v>0.82441557262672716</v>
      </c>
      <c r="F60">
        <v>7.0724803727888362E-3</v>
      </c>
      <c r="G60">
        <v>-0.1055740740740741</v>
      </c>
      <c r="H60">
        <v>0.37293759504248952</v>
      </c>
      <c r="I60" s="19">
        <f>1/2*BASE!$F$4*(BASE!$F$5^2)*(B60+B59)/2000*E60*0.1</f>
        <v>4.4756426692654028</v>
      </c>
      <c r="J60" s="19">
        <f>1/2*BASE!$F$4*(BASE!$F$5^2)*(B60+B59)/2000*F60*0.1</f>
        <v>3.8395556785931567E-2</v>
      </c>
    </row>
    <row r="61" spans="1:10" x14ac:dyDescent="1.1000000000000001">
      <c r="A61">
        <v>5700</v>
      </c>
      <c r="B61">
        <v>677.77777777777783</v>
      </c>
      <c r="C61" s="19">
        <f>4*$M$3*10^3*100*0.001*SQRT(1-4*A61^2/(BASE!$L$13*BASE!$L$13*4))/(PI()*BASE!$L$13*2)</f>
        <v>4.3897435253500685</v>
      </c>
      <c r="D61" s="16">
        <v>0.42318215422796868</v>
      </c>
      <c r="E61">
        <v>0.81897303853003967</v>
      </c>
      <c r="F61">
        <v>7.0450222599968077E-3</v>
      </c>
      <c r="G61">
        <v>-0.1050226488586692</v>
      </c>
      <c r="H61">
        <v>0.3731850120338876</v>
      </c>
      <c r="I61" s="19">
        <f>1/2*BASE!$F$4*(BASE!$F$5^2)*(B61+B60)/2000*E61*0.1</f>
        <v>4.4364093909846751</v>
      </c>
      <c r="J61" s="19">
        <f>1/2*BASE!$F$4*(BASE!$F$5^2)*(B61+B60)/2000*F61*0.1</f>
        <v>3.8163164650748774E-2</v>
      </c>
    </row>
    <row r="62" spans="1:10" x14ac:dyDescent="1.1000000000000001">
      <c r="A62">
        <v>5800</v>
      </c>
      <c r="B62">
        <v>676.2962962962963</v>
      </c>
      <c r="C62" s="19">
        <f>4*$M$3*10^3*100*0.001*SQRT(1-4*A62^2/(BASE!$L$13*BASE!$L$13*4))/(PI()*BASE!$L$13*2)</f>
        <v>4.3604042546117912</v>
      </c>
      <c r="D62" s="16">
        <v>0.4186642081092255</v>
      </c>
      <c r="E62">
        <v>0.8134294975189823</v>
      </c>
      <c r="F62">
        <v>7.0175591253139489E-3</v>
      </c>
      <c r="G62">
        <v>-0.1044764653906837</v>
      </c>
      <c r="H62">
        <v>0.37346479782526149</v>
      </c>
      <c r="I62" s="19">
        <f>1/2*BASE!$F$4*(BASE!$F$5^2)*(B62+B61)/2000*E62*0.1</f>
        <v>4.3967588931211603</v>
      </c>
      <c r="J62" s="19">
        <f>1/2*BASE!$F$4*(BASE!$F$5^2)*(B62+B61)/2000*F62*0.1</f>
        <v>3.7931394898188614E-2</v>
      </c>
    </row>
    <row r="63" spans="1:10" x14ac:dyDescent="1.1000000000000001">
      <c r="A63">
        <v>5900</v>
      </c>
      <c r="B63">
        <v>674.81481481481478</v>
      </c>
      <c r="C63" s="19">
        <f>4*$M$3*10^3*100*0.001*SQRT(1-4*A63^2/(BASE!$L$13*BASE!$L$13*4))/(PI()*BASE!$L$13*2)</f>
        <v>4.3303507435174149</v>
      </c>
      <c r="D63" s="16">
        <v>0.41487254410513641</v>
      </c>
      <c r="E63">
        <v>0.80780452930319058</v>
      </c>
      <c r="F63">
        <v>6.9895834127561753E-3</v>
      </c>
      <c r="G63">
        <v>-0.103929513836637</v>
      </c>
      <c r="H63">
        <v>0.37376064543105098</v>
      </c>
      <c r="I63" s="19">
        <f>1/2*BASE!$F$4*(BASE!$F$5^2)*(B63+B62)/2000*E63*0.1</f>
        <v>4.3568003605830521</v>
      </c>
      <c r="J63" s="19">
        <f>1/2*BASE!$F$4*(BASE!$F$5^2)*(B63+B62)/2000*F63*0.1</f>
        <v>3.769751026190632E-2</v>
      </c>
    </row>
    <row r="64" spans="1:10" x14ac:dyDescent="1.1000000000000001">
      <c r="A64">
        <v>6000</v>
      </c>
      <c r="B64">
        <v>673.33333333333337</v>
      </c>
      <c r="C64" s="19">
        <f>4*$M$3*10^3*100*0.001*SQRT(1-4*A64^2/(BASE!$L$13*BASE!$L$13*4))/(PI()*BASE!$L$13*2)</f>
        <v>4.2995680147066526</v>
      </c>
      <c r="D64" s="16">
        <v>0.41178651216717188</v>
      </c>
      <c r="E64">
        <v>0.8021002302252781</v>
      </c>
      <c r="F64">
        <v>6.9610987542163801E-3</v>
      </c>
      <c r="G64">
        <v>-0.1033817066151668</v>
      </c>
      <c r="H64">
        <v>0.3740723170130098</v>
      </c>
      <c r="I64" s="19">
        <f>1/2*BASE!$F$4*(BASE!$F$5^2)*(B64+B63)/2000*E64*0.1</f>
        <v>4.3165479642218303</v>
      </c>
      <c r="J64" s="19">
        <f>1/2*BASE!$F$4*(BASE!$F$5^2)*(B64+B63)/2000*F64*0.1</f>
        <v>3.7461548474834086E-2</v>
      </c>
    </row>
    <row r="65" spans="1:10" x14ac:dyDescent="1.1000000000000001">
      <c r="A65">
        <v>6100</v>
      </c>
      <c r="B65">
        <v>671.85185185185185</v>
      </c>
      <c r="C65" s="19">
        <f>4*$M$3*10^3*100*0.001*SQRT(1-4*A65^2/(BASE!$L$13*BASE!$L$13*4))/(PI()*BASE!$L$13*2)</f>
        <v>4.2680402900226504</v>
      </c>
      <c r="D65" s="16">
        <v>0.40943610677735709</v>
      </c>
      <c r="E65">
        <v>0.79631316185960432</v>
      </c>
      <c r="F65">
        <v>6.9320802013744512E-3</v>
      </c>
      <c r="G65">
        <v>-0.10283297420996421</v>
      </c>
      <c r="H65">
        <v>0.37440055149339652</v>
      </c>
      <c r="I65" s="19">
        <f>1/2*BASE!$F$4*(BASE!$F$5^2)*(B65+B64)/2000*E65*0.1</f>
        <v>4.2759860555033491</v>
      </c>
      <c r="J65" s="19">
        <f>1/2*BASE!$F$4*(BASE!$F$5^2)*(B65+B64)/2000*F65*0.1</f>
        <v>3.7223393630072897E-2</v>
      </c>
    </row>
    <row r="66" spans="1:10" x14ac:dyDescent="1.1000000000000001">
      <c r="A66">
        <v>6200</v>
      </c>
      <c r="B66">
        <v>670.37037037037032</v>
      </c>
      <c r="C66" s="19">
        <f>4*$M$3*10^3*100*0.001*SQRT(1-4*A66^2/(BASE!$L$13*BASE!$L$13*4))/(PI()*BASE!$L$13*2)</f>
        <v>4.2357509339414916</v>
      </c>
      <c r="D66" s="16">
        <v>0.40805288407906709</v>
      </c>
      <c r="E66">
        <v>0.79041780962398012</v>
      </c>
      <c r="F66">
        <v>6.9023866502234696E-3</v>
      </c>
      <c r="G66">
        <v>-0.10228329491782021</v>
      </c>
      <c r="H66">
        <v>0.37475002340149649</v>
      </c>
      <c r="I66" s="19">
        <f>1/2*BASE!$F$4*(BASE!$F$5^2)*(B66+B65)/2000*E66*0.1</f>
        <v>4.2349808666916724</v>
      </c>
      <c r="J66" s="19">
        <f>1/2*BASE!$F$4*(BASE!$F$5^2)*(B66+B65)/2000*F66*0.1</f>
        <v>3.6982308650295344E-2</v>
      </c>
    </row>
    <row r="67" spans="1:10" x14ac:dyDescent="1.1000000000000001">
      <c r="A67">
        <v>6300</v>
      </c>
      <c r="B67">
        <v>668.88888888888891</v>
      </c>
      <c r="C67" s="19">
        <f>4*$M$3*10^3*100*0.001*SQRT(1-4*A67^2/(BASE!$L$13*BASE!$L$13*4))/(PI()*BASE!$L$13*2)</f>
        <v>4.2026823915777012</v>
      </c>
      <c r="D67" s="16">
        <v>0.40768612656532682</v>
      </c>
      <c r="E67">
        <v>0.78440855941801602</v>
      </c>
      <c r="F67">
        <v>6.8719788799597864E-3</v>
      </c>
      <c r="G67">
        <v>-0.1017325722256565</v>
      </c>
      <c r="H67">
        <v>0.3751219114133269</v>
      </c>
      <c r="I67" s="19">
        <f>1/2*BASE!$F$4*(BASE!$F$5^2)*(B67+B66)/2000*E67*0.1</f>
        <v>4.1935062266045788</v>
      </c>
      <c r="J67" s="19">
        <f>1/2*BASE!$F$4*(BASE!$F$5^2)*(B67+B66)/2000*F67*0.1</f>
        <v>3.6738107809006458E-2</v>
      </c>
    </row>
    <row r="68" spans="1:10" x14ac:dyDescent="1.1000000000000001">
      <c r="A68">
        <v>6400</v>
      </c>
      <c r="B68">
        <v>667.40740740740739</v>
      </c>
      <c r="C68" s="19">
        <f>4*$M$3*10^3*100*0.001*SQRT(1-4*A68^2/(BASE!$L$13*BASE!$L$13*4))/(PI()*BASE!$L$13*2)</f>
        <v>4.1688161206186303</v>
      </c>
      <c r="D68" s="16">
        <v>0.40830346513991411</v>
      </c>
      <c r="E68">
        <v>0.77827709628922159</v>
      </c>
      <c r="F68">
        <v>6.8401661575537131E-3</v>
      </c>
      <c r="G68">
        <v>-0.1011777777777778</v>
      </c>
      <c r="H68">
        <v>0.37551580601666967</v>
      </c>
      <c r="I68" s="19">
        <f>1/2*BASE!$F$4*(BASE!$F$5^2)*(B68+B67)/2000*E68*0.1</f>
        <v>4.1515218226544439</v>
      </c>
      <c r="J68" s="19">
        <f>1/2*BASE!$F$4*(BASE!$F$5^2)*(B68+B67)/2000*F68*0.1</f>
        <v>3.6487131908496728E-2</v>
      </c>
    </row>
    <row r="69" spans="1:10" x14ac:dyDescent="1.1000000000000001">
      <c r="A69">
        <v>6500</v>
      </c>
      <c r="B69">
        <v>665.92592592592587</v>
      </c>
      <c r="C69" s="19">
        <f>4*$M$3*10^3*100*0.001*SQRT(1-4*A69^2/(BASE!$L$13*BASE!$L$13*4))/(PI()*BASE!$L$13*2)</f>
        <v>4.1341325164469174</v>
      </c>
      <c r="D69" s="16">
        <v>0.41004253431121229</v>
      </c>
      <c r="E69">
        <v>0.77202170094125189</v>
      </c>
      <c r="F69">
        <v>6.8069535421443521E-3</v>
      </c>
      <c r="G69">
        <v>-0.1006222222222222</v>
      </c>
      <c r="H69">
        <v>0.37593463780911701</v>
      </c>
      <c r="I69" s="19">
        <f>1/2*BASE!$F$4*(BASE!$F$5^2)*(B69+B68)/2000*E69*0.1</f>
        <v>4.1090228404817699</v>
      </c>
      <c r="J69" s="19">
        <f>1/2*BASE!$F$4*(BASE!$F$5^2)*(B69+B68)/2000*F69*0.1</f>
        <v>3.6229457727248317E-2</v>
      </c>
    </row>
    <row r="70" spans="1:10" x14ac:dyDescent="1.1000000000000001">
      <c r="A70">
        <v>6600</v>
      </c>
      <c r="B70">
        <v>664.44444444444446</v>
      </c>
      <c r="C70" s="19">
        <f>4*$M$3*10^3*100*0.001*SQRT(1-4*A70^2/(BASE!$L$13*BASE!$L$13*4))/(PI()*BASE!$L$13*2)</f>
        <v>4.0986108296005783</v>
      </c>
      <c r="D70" s="16">
        <v>0.41308365481617071</v>
      </c>
      <c r="E70">
        <v>0.76562579172594103</v>
      </c>
      <c r="F70">
        <v>6.7722871349291522E-3</v>
      </c>
      <c r="G70">
        <v>-0.10006666666666671</v>
      </c>
      <c r="H70">
        <v>0.37638222240759878</v>
      </c>
      <c r="I70" s="19">
        <f>1/2*BASE!$F$4*(BASE!$F$5^2)*(B70+B69)/2000*E70*0.1</f>
        <v>4.0659256191923179</v>
      </c>
      <c r="J70" s="19">
        <f>1/2*BASE!$F$4*(BASE!$F$5^2)*(B70+B69)/2000*F70*0.1</f>
        <v>3.5964848702865364E-2</v>
      </c>
    </row>
    <row r="71" spans="1:10" x14ac:dyDescent="1.1000000000000001">
      <c r="A71">
        <v>6700</v>
      </c>
      <c r="B71">
        <v>662.96296296296293</v>
      </c>
      <c r="C71" s="19">
        <f>4*$M$3*10^3*100*0.001*SQRT(1-4*A71^2/(BASE!$L$13*BASE!$L$13*4))/(PI()*BASE!$L$13*2)</f>
        <v>4.0622290745914373</v>
      </c>
      <c r="D71" s="16">
        <v>0.41816254759991273</v>
      </c>
      <c r="E71">
        <v>0.75900861968837063</v>
      </c>
      <c r="F71">
        <v>6.7356158614374799E-3</v>
      </c>
      <c r="G71">
        <v>-9.9511111111111106E-2</v>
      </c>
      <c r="H71">
        <v>0.37687345458006299</v>
      </c>
      <c r="I71" s="19">
        <f>1/2*BASE!$F$4*(BASE!$F$5^2)*(B71+B70)/2000*E71*0.1</f>
        <v>4.0218072749843143</v>
      </c>
      <c r="J71" s="19">
        <f>1/2*BASE!$F$4*(BASE!$F$5^2)*(B71+B70)/2000*F71*0.1</f>
        <v>3.5690436406573593E-2</v>
      </c>
    </row>
    <row r="72" spans="1:10" x14ac:dyDescent="1.1000000000000001">
      <c r="A72">
        <v>6800</v>
      </c>
      <c r="B72">
        <v>661.48148148148152</v>
      </c>
      <c r="C72" s="19">
        <f>4*$M$3*10^3*100*0.001*SQRT(1-4*A72^2/(BASE!$L$13*BASE!$L$13*4))/(PI()*BASE!$L$13*2)</f>
        <v>4.0249639289507098</v>
      </c>
      <c r="D72" s="16">
        <v>0.4259178758496745</v>
      </c>
      <c r="E72">
        <v>0.75209376020132801</v>
      </c>
      <c r="F72">
        <v>6.6977818028159039E-3</v>
      </c>
      <c r="G72">
        <v>-9.895555555555556E-2</v>
      </c>
      <c r="H72">
        <v>0.37742891247748528</v>
      </c>
      <c r="I72" s="19">
        <f>1/2*BASE!$F$4*(BASE!$F$5^2)*(B72+B71)/2000*E72*0.1</f>
        <v>3.9762716067645019</v>
      </c>
      <c r="J72" s="19">
        <f>1/2*BASE!$F$4*(BASE!$F$5^2)*(B72+B71)/2000*F72*0.1</f>
        <v>3.5410744005789467E-2</v>
      </c>
    </row>
    <row r="73" spans="1:10" x14ac:dyDescent="1.1000000000000001">
      <c r="A73">
        <v>6900</v>
      </c>
      <c r="B73">
        <v>660</v>
      </c>
      <c r="C73" s="19">
        <f>4*$M$3*10^3*100*0.001*SQRT(1-4*A73^2/(BASE!$L$13*BASE!$L$13*4))/(PI()*BASE!$L$13*2)</f>
        <v>3.9867906211906989</v>
      </c>
      <c r="D73" s="16">
        <v>0.42594256266396141</v>
      </c>
      <c r="E73">
        <v>0.74602037554430034</v>
      </c>
      <c r="F73">
        <v>6.6670287186680194E-3</v>
      </c>
      <c r="G73">
        <v>-9.8400000000000001E-2</v>
      </c>
      <c r="H73">
        <v>0.37784479381594321</v>
      </c>
      <c r="I73" s="19">
        <f>1/2*BASE!$F$4*(BASE!$F$5^2)*(B73+B72)/2000*E73*0.1</f>
        <v>3.9353383818735566</v>
      </c>
      <c r="J73" s="19">
        <f>1/2*BASE!$F$4*(BASE!$F$5^2)*(B73+B72)/2000*F73*0.1</f>
        <v>3.5169299485265225E-2</v>
      </c>
    </row>
    <row r="74" spans="1:10" x14ac:dyDescent="1.1000000000000001">
      <c r="A74">
        <v>7000</v>
      </c>
      <c r="B74">
        <v>655.20000000000005</v>
      </c>
      <c r="C74" s="19">
        <f>4*$M$3*10^3*100*0.001*SQRT(1-4*A74^2/(BASE!$L$13*BASE!$L$13*4))/(PI()*BASE!$L$13*2)</f>
        <v>3.9476828061579821</v>
      </c>
      <c r="D74" s="16">
        <v>0.41503662078149428</v>
      </c>
      <c r="E74">
        <v>0.74062803431588287</v>
      </c>
      <c r="F74">
        <v>6.6444003577744394E-3</v>
      </c>
      <c r="G74">
        <v>-9.8335208878898753E-2</v>
      </c>
      <c r="H74">
        <v>0.37881605494069198</v>
      </c>
      <c r="I74" s="19">
        <f>1/2*BASE!$F$4*(BASE!$F$5^2)*(B74+B73)/2000*E74*0.1</f>
        <v>3.8883223146689256</v>
      </c>
      <c r="J74" s="19">
        <f>1/2*BASE!$F$4*(BASE!$F$5^2)*(B74+B73)/2000*F74*0.1</f>
        <v>3.4883327367688462E-2</v>
      </c>
    </row>
    <row r="75" spans="1:10" x14ac:dyDescent="1.1000000000000001">
      <c r="A75">
        <v>7100</v>
      </c>
      <c r="B75">
        <v>650.4</v>
      </c>
      <c r="C75" s="19">
        <f>4*$M$3*10^3*100*0.001*SQRT(1-4*A75^2/(BASE!$L$13*BASE!$L$13*4))/(PI()*BASE!$L$13*2)</f>
        <v>3.9076124259985221</v>
      </c>
      <c r="D75" s="16">
        <v>0.39658368323054383</v>
      </c>
      <c r="E75">
        <v>0.73608038786680241</v>
      </c>
      <c r="F75">
        <v>6.6251965581510478E-3</v>
      </c>
      <c r="G75">
        <v>-9.8272028016795063E-2</v>
      </c>
      <c r="H75">
        <v>0.37963231805089742</v>
      </c>
      <c r="I75" s="19">
        <f>1/2*BASE!$F$4*(BASE!$F$5^2)*(B75+B74)/2000*E75*0.1</f>
        <v>3.8362393740228491</v>
      </c>
      <c r="J75" s="19">
        <f>1/2*BASE!$F$4*(BASE!$F$5^2)*(B75+B74)/2000*F75*0.1</f>
        <v>3.4528619857236077E-2</v>
      </c>
    </row>
    <row r="76" spans="1:10" x14ac:dyDescent="1.1000000000000001">
      <c r="A76">
        <v>7200</v>
      </c>
      <c r="B76">
        <v>645.6</v>
      </c>
      <c r="C76" s="19">
        <f>4*$M$3*10^3*100*0.001*SQRT(1-4*A76^2/(BASE!$L$13*BASE!$L$13*4))/(PI()*BASE!$L$13*2)</f>
        <v>3.866549554649755</v>
      </c>
      <c r="D76" s="16">
        <v>0.38091285538919251</v>
      </c>
      <c r="E76">
        <v>0.73129338467110738</v>
      </c>
      <c r="F76">
        <v>6.5980482509187021E-3</v>
      </c>
      <c r="G76">
        <v>-9.8210657725588027E-2</v>
      </c>
      <c r="H76">
        <v>0.38051092836861378</v>
      </c>
      <c r="I76" s="19">
        <f>1/2*BASE!$F$4*(BASE!$F$5^2)*(B76+B75)/2000*E76*0.1</f>
        <v>3.7832666918119062</v>
      </c>
      <c r="J76" s="19">
        <f>1/2*BASE!$F$4*(BASE!$F$5^2)*(B76+B75)/2000*F76*0.1</f>
        <v>3.4134284135354305E-2</v>
      </c>
    </row>
    <row r="77" spans="1:10" x14ac:dyDescent="1.1000000000000001">
      <c r="A77">
        <v>7300</v>
      </c>
      <c r="B77">
        <v>640.79999999999995</v>
      </c>
      <c r="C77" s="19">
        <f>4*$M$3*10^3*100*0.001*SQRT(1-4*A77^2/(BASE!$L$13*BASE!$L$13*4))/(PI()*BASE!$L$13*2)</f>
        <v>3.82446222340708</v>
      </c>
      <c r="D77" s="16">
        <v>0.36751238083184168</v>
      </c>
      <c r="E77">
        <v>0.72625956688551585</v>
      </c>
      <c r="F77">
        <v>6.569670351320351E-3</v>
      </c>
      <c r="G77">
        <v>-9.8151249188559858E-2</v>
      </c>
      <c r="H77">
        <v>0.38144146657268169</v>
      </c>
      <c r="I77" s="19">
        <f>1/2*BASE!$F$4*(BASE!$F$5^2)*(B77+B76)/2000*E77*0.1</f>
        <v>3.7293934889591953</v>
      </c>
      <c r="J77" s="19">
        <f>1/2*BASE!$F$4*(BASE!$F$5^2)*(B77+B76)/2000*F77*0.1</f>
        <v>3.3735715094111239E-2</v>
      </c>
    </row>
    <row r="78" spans="1:10" x14ac:dyDescent="1.1000000000000001">
      <c r="A78">
        <v>7400</v>
      </c>
      <c r="B78">
        <v>636</v>
      </c>
      <c r="C78" s="19">
        <f>4*$M$3*10^3*100*0.001*SQRT(1-4*A78^2/(BASE!$L$13*BASE!$L$13*4))/(PI()*BASE!$L$13*2)</f>
        <v>3.7813162246676604</v>
      </c>
      <c r="D78" s="16">
        <v>0.3557598047530206</v>
      </c>
      <c r="E78">
        <v>0.72100898814270364</v>
      </c>
      <c r="F78">
        <v>6.541775636757694E-3</v>
      </c>
      <c r="G78">
        <v>-9.8093891176570358E-2</v>
      </c>
      <c r="H78">
        <v>0.38242366129285171</v>
      </c>
      <c r="I78" s="19">
        <f>1/2*BASE!$F$4*(BASE!$F$5^2)*(B78+B77)/2000*E78*0.1</f>
        <v>3.6748013161186197</v>
      </c>
      <c r="J78" s="19">
        <f>1/2*BASE!$F$4*(BASE!$F$5^2)*(B78+B77)/2000*F78*0.1</f>
        <v>3.3341783687933578E-2</v>
      </c>
    </row>
    <row r="79" spans="1:10" x14ac:dyDescent="1.1000000000000001">
      <c r="A79">
        <v>7500</v>
      </c>
      <c r="B79">
        <v>631.20000000000005</v>
      </c>
      <c r="C79" s="19">
        <f>4*$M$3*10^3*100*0.001*SQRT(1-4*A79^2/(BASE!$L$13*BASE!$L$13*4))/(PI()*BASE!$L$13*2)</f>
        <v>3.7370748904140814</v>
      </c>
      <c r="D79" s="16">
        <v>0.34541109738725378</v>
      </c>
      <c r="E79">
        <v>0.71555084881542097</v>
      </c>
      <c r="F79">
        <v>6.515131128201377E-3</v>
      </c>
      <c r="G79">
        <v>-9.8038667198023774E-2</v>
      </c>
      <c r="H79">
        <v>0.38345837774153152</v>
      </c>
      <c r="I79" s="19">
        <f>1/2*BASE!$F$4*(BASE!$F$5^2)*(B79+B78)/2000*E79*0.1</f>
        <v>3.6195616324629896</v>
      </c>
      <c r="J79" s="19">
        <f>1/2*BASE!$F$4*(BASE!$F$5^2)*(B79+B78)/2000*F79*0.1</f>
        <v>3.2956314287296805E-2</v>
      </c>
    </row>
    <row r="80" spans="1:10" x14ac:dyDescent="1.1000000000000001">
      <c r="A80">
        <v>7600</v>
      </c>
      <c r="B80">
        <v>626.4</v>
      </c>
      <c r="C80" s="19">
        <f>4*$M$3*10^3*100*0.001*SQRT(1-4*A80^2/(BASE!$L$13*BASE!$L$13*4))/(PI()*BASE!$L$13*2)</f>
        <v>3.6916988413403113</v>
      </c>
      <c r="D80" s="16">
        <v>0.33635565828857339</v>
      </c>
      <c r="E80">
        <v>0.70996045316340972</v>
      </c>
      <c r="F80">
        <v>6.4877476008700641E-3</v>
      </c>
      <c r="G80">
        <v>-9.798565975059248E-2</v>
      </c>
      <c r="H80">
        <v>0.38452265435764482</v>
      </c>
      <c r="I80" s="19">
        <f>1/2*BASE!$F$4*(BASE!$F$5^2)*(B80+B79)/2000*E80*0.1</f>
        <v>3.5640763353627878</v>
      </c>
      <c r="J80" s="19">
        <f>1/2*BASE!$F$4*(BASE!$F$5^2)*(B80+B79)/2000*F80*0.1</f>
        <v>3.2569177045056588E-2</v>
      </c>
    </row>
    <row r="81" spans="1:10" x14ac:dyDescent="1.1000000000000001">
      <c r="A81">
        <v>7700</v>
      </c>
      <c r="B81">
        <v>621.6</v>
      </c>
      <c r="C81" s="19">
        <f>4*$M$3*10^3*100*0.001*SQRT(1-4*A81^2/(BASE!$L$13*BASE!$L$13*4))/(PI()*BASE!$L$13*2)</f>
        <v>3.6451457017113644</v>
      </c>
      <c r="D81" s="16">
        <v>0.32852000485358152</v>
      </c>
      <c r="E81">
        <v>0.70433496875127022</v>
      </c>
      <c r="F81">
        <v>6.4596704611033827E-3</v>
      </c>
      <c r="G81">
        <v>-9.7934947840931888E-2</v>
      </c>
      <c r="H81">
        <v>0.38561491402724468</v>
      </c>
      <c r="I81" s="19">
        <f>1/2*BASE!$F$4*(BASE!$F$5^2)*(B81+B80)/2000*E81*0.1</f>
        <v>3.5088446973880929</v>
      </c>
      <c r="J81" s="19">
        <f>1/2*BASE!$F$4*(BASE!$F$5^2)*(B81+B80)/2000*F81*0.1</f>
        <v>3.2180683126527249E-2</v>
      </c>
    </row>
    <row r="82" spans="1:10" x14ac:dyDescent="1.1000000000000001">
      <c r="A82">
        <v>7800</v>
      </c>
      <c r="B82">
        <v>616.79999999999995</v>
      </c>
      <c r="C82" s="19">
        <f>4*$M$3*10^3*100*0.001*SQRT(1-4*A82^2/(BASE!$L$13*BASE!$L$13*4))/(PI()*BASE!$L$13*2)</f>
        <v>3.5973697740457169</v>
      </c>
      <c r="D82" s="16">
        <v>0.32186200173620771</v>
      </c>
      <c r="E82">
        <v>0.69858191187487828</v>
      </c>
      <c r="F82">
        <v>6.430926302164526E-3</v>
      </c>
      <c r="G82">
        <v>-9.7886610192375018E-2</v>
      </c>
      <c r="H82">
        <v>0.38673426913438408</v>
      </c>
      <c r="I82" s="19">
        <f>1/2*BASE!$F$4*(BASE!$F$5^2)*(B82+B81)/2000*E82*0.1</f>
        <v>3.4534135627582305</v>
      </c>
      <c r="J82" s="19">
        <f>1/2*BASE!$F$4*(BASE!$F$5^2)*(B82+B81)/2000*F82*0.1</f>
        <v>3.1791043735142341E-2</v>
      </c>
    </row>
    <row r="83" spans="1:10" x14ac:dyDescent="1.1000000000000001">
      <c r="A83">
        <v>7900</v>
      </c>
      <c r="B83">
        <v>612</v>
      </c>
      <c r="C83" s="19">
        <f>4*$M$3*10^3*100*0.001*SQRT(1-4*A83^2/(BASE!$L$13*BASE!$L$13*4))/(PI()*BASE!$L$13*2)</f>
        <v>3.5483216664631865</v>
      </c>
      <c r="D83" s="16">
        <v>0.31636759051960978</v>
      </c>
      <c r="E83">
        <v>0.6916336348793275</v>
      </c>
      <c r="F83">
        <v>6.4102531377750191E-3</v>
      </c>
      <c r="G83">
        <v>-9.7622522678607049E-2</v>
      </c>
      <c r="H83">
        <v>0.38779316888504672</v>
      </c>
      <c r="I83" s="19">
        <f>1/2*BASE!$F$4*(BASE!$F$5^2)*(B83+B82)/2000*E83*0.1</f>
        <v>3.3925606352501596</v>
      </c>
      <c r="J83" s="19">
        <f>1/2*BASE!$F$4*(BASE!$F$5^2)*(B83+B82)/2000*F83*0.1</f>
        <v>3.1443196745338561E-2</v>
      </c>
    </row>
    <row r="84" spans="1:10" x14ac:dyDescent="1.1000000000000001">
      <c r="A84">
        <v>8000</v>
      </c>
      <c r="B84">
        <v>607.20000000000005</v>
      </c>
      <c r="C84" s="19">
        <f>4*$M$3*10^3*100*0.001*SQRT(1-4*A84^2/(BASE!$L$13*BASE!$L$13*4))/(PI()*BASE!$L$13*2)</f>
        <v>3.4979478639808077</v>
      </c>
      <c r="D84" s="16">
        <v>0.31204627649816669</v>
      </c>
      <c r="E84">
        <v>0.68439052210692197</v>
      </c>
      <c r="F84">
        <v>6.3902884036532819E-3</v>
      </c>
      <c r="G84">
        <v>-9.7326729068605775E-2</v>
      </c>
      <c r="H84">
        <v>0.38886544853210148</v>
      </c>
      <c r="I84" s="19">
        <f>1/2*BASE!$F$4*(BASE!$F$5^2)*(B84+B83)/2000*E84*0.1</f>
        <v>3.3308053307720651</v>
      </c>
      <c r="J84" s="19">
        <f>1/2*BASE!$F$4*(BASE!$F$5^2)*(B84+B83)/2000*F84*0.1</f>
        <v>3.1100382007823807E-2</v>
      </c>
    </row>
    <row r="85" spans="1:10" x14ac:dyDescent="1.1000000000000001">
      <c r="A85">
        <v>8100</v>
      </c>
      <c r="B85">
        <v>602.4</v>
      </c>
      <c r="C85" s="19">
        <f>4*$M$3*10^3*100*0.001*SQRT(1-4*A85^2/(BASE!$L$13*BASE!$L$13*4))/(PI()*BASE!$L$13*2)</f>
        <v>3.4461902330726257</v>
      </c>
      <c r="D85" s="16">
        <v>0.30893326327229298</v>
      </c>
      <c r="E85">
        <v>0.67775495644307027</v>
      </c>
      <c r="F85">
        <v>6.3683682404609681E-3</v>
      </c>
      <c r="G85">
        <v>-9.7202434186019246E-2</v>
      </c>
      <c r="H85">
        <v>0.39008112477570478</v>
      </c>
      <c r="I85" s="19">
        <f>1/2*BASE!$F$4*(BASE!$F$5^2)*(B85+B84)/2000*E85*0.1</f>
        <v>3.2725386991839276</v>
      </c>
      <c r="J85" s="19">
        <f>1/2*BASE!$F$4*(BASE!$F$5^2)*(B85+B84)/2000*F85*0.1</f>
        <v>3.0749655637985648E-2</v>
      </c>
    </row>
    <row r="86" spans="1:10" x14ac:dyDescent="1.1000000000000001">
      <c r="A86">
        <v>8200</v>
      </c>
      <c r="B86">
        <v>597.6</v>
      </c>
      <c r="C86" s="19">
        <f>4*$M$3*10^3*100*0.001*SQRT(1-4*A86^2/(BASE!$L$13*BASE!$L$13*4))/(PI()*BASE!$L$13*2)</f>
        <v>3.3929854463118287</v>
      </c>
      <c r="D86" s="16">
        <v>0.30708706887192239</v>
      </c>
      <c r="E86">
        <v>0.67133552365224525</v>
      </c>
      <c r="F86">
        <v>6.3444125286583894E-3</v>
      </c>
      <c r="G86">
        <v>-9.7158959579370999E-2</v>
      </c>
      <c r="H86">
        <v>0.39137304068404333</v>
      </c>
      <c r="I86" s="19">
        <f>1/2*BASE!$F$4*(BASE!$F$5^2)*(B86+B85)/2000*E86*0.1</f>
        <v>3.2158159508412596</v>
      </c>
      <c r="J86" s="19">
        <f>1/2*BASE!$F$4*(BASE!$F$5^2)*(B86+B85)/2000*F86*0.1</f>
        <v>3.0390858653482108E-2</v>
      </c>
    </row>
    <row r="87" spans="1:10" x14ac:dyDescent="1.1000000000000001">
      <c r="A87">
        <v>8300</v>
      </c>
      <c r="B87">
        <v>592.79999999999995</v>
      </c>
      <c r="C87" s="19">
        <f>4*$M$3*10^3*100*0.001*SQRT(1-4*A87^2/(BASE!$L$13*BASE!$L$13*4))/(PI()*BASE!$L$13*2)</f>
        <v>3.3382643107165824</v>
      </c>
      <c r="D87" s="16">
        <v>0.3065965355885979</v>
      </c>
      <c r="E87">
        <v>0.66534416846061295</v>
      </c>
      <c r="F87">
        <v>6.3272091998488834E-3</v>
      </c>
      <c r="G87">
        <v>-9.7253325052459969E-2</v>
      </c>
      <c r="H87">
        <v>0.3929420740481851</v>
      </c>
      <c r="I87" s="19">
        <f>1/2*BASE!$F$4*(BASE!$F$5^2)*(B87+B86)/2000*E87*0.1</f>
        <v>3.1616193689110412</v>
      </c>
      <c r="J87" s="19">
        <f>1/2*BASE!$F$4*(BASE!$F$5^2)*(B87+B86)/2000*F87*0.1</f>
        <v>3.0065984051047663E-2</v>
      </c>
    </row>
    <row r="88" spans="1:10" x14ac:dyDescent="1.1000000000000001">
      <c r="A88">
        <v>8400</v>
      </c>
      <c r="B88">
        <v>588</v>
      </c>
      <c r="C88" s="19">
        <f>4*$M$3*10^3*100*0.001*SQRT(1-4*A88^2/(BASE!$L$13*BASE!$L$13*4))/(PI()*BASE!$L$13*2)</f>
        <v>3.2819509792935198</v>
      </c>
      <c r="D88" s="16">
        <v>0.30757971950842011</v>
      </c>
      <c r="E88">
        <v>0.65945648659501355</v>
      </c>
      <c r="F88">
        <v>6.3134617665616018E-3</v>
      </c>
      <c r="G88">
        <v>-9.7411497130476102E-2</v>
      </c>
      <c r="H88">
        <v>0.39469293303939701</v>
      </c>
      <c r="I88" s="19">
        <f>1/2*BASE!$F$4*(BASE!$F$5^2)*(B88+B87)/2000*E88*0.1</f>
        <v>3.1083706491648173</v>
      </c>
      <c r="J88" s="19">
        <f>1/2*BASE!$F$4*(BASE!$F$5^2)*(B88+B87)/2000*F88*0.1</f>
        <v>2.9758717441892749E-2</v>
      </c>
    </row>
    <row r="89" spans="1:10" x14ac:dyDescent="1.1000000000000001">
      <c r="A89">
        <v>8500</v>
      </c>
      <c r="B89">
        <v>583.20000000000005</v>
      </c>
      <c r="C89" s="19">
        <f>4*$M$3*10^3*100*0.001*SQRT(1-4*A89^2/(BASE!$L$13*BASE!$L$13*4))/(PI()*BASE!$L$13*2)</f>
        <v>3.223962019895517</v>
      </c>
      <c r="D89" s="16">
        <v>0.31019788561280981</v>
      </c>
      <c r="E89">
        <v>0.65346233548752042</v>
      </c>
      <c r="F89">
        <v>6.2989694802915771E-3</v>
      </c>
      <c r="G89">
        <v>-9.7583472811083566E-2</v>
      </c>
      <c r="H89">
        <v>0.39652695995250647</v>
      </c>
      <c r="I89" s="19">
        <f>1/2*BASE!$F$4*(BASE!$F$5^2)*(B89+B88)/2000*E89*0.1</f>
        <v>3.0550754116737817</v>
      </c>
      <c r="J89" s="19">
        <f>1/2*BASE!$F$4*(BASE!$F$5^2)*(B89+B88)/2000*F89*0.1</f>
        <v>2.9449022128819981E-2</v>
      </c>
    </row>
    <row r="90" spans="1:10" x14ac:dyDescent="1.1000000000000001">
      <c r="A90">
        <v>8600</v>
      </c>
      <c r="B90">
        <v>578.4</v>
      </c>
      <c r="C90" s="19">
        <f>4*$M$3*10^3*100*0.001*SQRT(1-4*A90^2/(BASE!$L$13*BASE!$L$13*4))/(PI()*BASE!$L$13*2)</f>
        <v>3.1642053084358057</v>
      </c>
      <c r="D90" s="16">
        <v>0.31465677930448432</v>
      </c>
      <c r="E90">
        <v>0.64727012271335405</v>
      </c>
      <c r="F90">
        <v>6.2836747949775763E-3</v>
      </c>
      <c r="G90">
        <v>-9.7755567371704807E-2</v>
      </c>
      <c r="H90">
        <v>0.39843732375159657</v>
      </c>
      <c r="I90" s="19">
        <f>1/2*BASE!$F$4*(BASE!$F$5^2)*(B90+B89)/2000*E90*0.1</f>
        <v>3.0013211924776981</v>
      </c>
      <c r="J90" s="19">
        <f>1/2*BASE!$F$4*(BASE!$F$5^2)*(B90+B89)/2000*F90*0.1</f>
        <v>2.9136716908461532E-2</v>
      </c>
    </row>
    <row r="91" spans="1:10" x14ac:dyDescent="1.1000000000000001">
      <c r="A91">
        <v>8700</v>
      </c>
      <c r="B91">
        <v>573.6</v>
      </c>
      <c r="C91" s="19">
        <f>4*$M$3*10^3*100*0.001*SQRT(1-4*A91^2/(BASE!$L$13*BASE!$L$13*4))/(PI()*BASE!$L$13*2)</f>
        <v>3.1025787040942796</v>
      </c>
      <c r="D91" s="16">
        <v>0.32123210639018412</v>
      </c>
      <c r="E91">
        <v>0.64079345865340576</v>
      </c>
      <c r="F91">
        <v>6.2675040065348804E-3</v>
      </c>
      <c r="G91">
        <v>-9.7907117750659342E-2</v>
      </c>
      <c r="H91">
        <v>0.40044441884822762</v>
      </c>
      <c r="I91" s="19">
        <f>1/2*BASE!$F$4*(BASE!$F$5^2)*(B91+B90)/2000*E91*0.1</f>
        <v>2.9467334928872431</v>
      </c>
      <c r="J91" s="19">
        <f>1/2*BASE!$F$4*(BASE!$F$5^2)*(B91+B90)/2000*F91*0.1</f>
        <v>2.8821555094635732E-2</v>
      </c>
    </row>
    <row r="92" spans="1:10" x14ac:dyDescent="1.1000000000000001">
      <c r="A92">
        <v>8800</v>
      </c>
      <c r="B92">
        <v>568.79999999999995</v>
      </c>
      <c r="C92" s="19">
        <f>4*$M$3*10^3*100*0.001*SQRT(1-4*A92^2/(BASE!$L$13*BASE!$L$13*4))/(PI()*BASE!$L$13*2)</f>
        <v>3.0389684515023845</v>
      </c>
      <c r="D92" s="16">
        <v>0.33028001540885121</v>
      </c>
      <c r="E92">
        <v>0.63403377029184183</v>
      </c>
      <c r="F92">
        <v>6.2503637891709353E-3</v>
      </c>
      <c r="G92">
        <v>-9.8058280844069312E-2</v>
      </c>
      <c r="H92">
        <v>0.40254056464802912</v>
      </c>
      <c r="I92" s="19">
        <f>1/2*BASE!$F$4*(BASE!$F$5^2)*(B92+B91)/2000*E92*0.1</f>
        <v>2.8913515220325752</v>
      </c>
      <c r="J92" s="19">
        <f>1/2*BASE!$F$4*(BASE!$F$5^2)*(B92+B91)/2000*F92*0.1</f>
        <v>2.8503211819077473E-2</v>
      </c>
    </row>
    <row r="93" spans="1:10" x14ac:dyDescent="1.1000000000000001">
      <c r="A93">
        <v>8900</v>
      </c>
      <c r="B93">
        <v>564</v>
      </c>
      <c r="C93" s="19">
        <f>4*$M$3*10^3*100*0.001*SQRT(1-4*A93^2/(BASE!$L$13*BASE!$L$13*4))/(PI()*BASE!$L$13*2)</f>
        <v>2.9732472376705772</v>
      </c>
      <c r="D93" s="16">
        <v>0.3422839117884719</v>
      </c>
      <c r="E93">
        <v>0.62694107304819346</v>
      </c>
      <c r="F93">
        <v>6.2321306245837673E-3</v>
      </c>
      <c r="G93">
        <v>-9.8210394953007721E-2</v>
      </c>
      <c r="H93">
        <v>0.40474133703840182</v>
      </c>
      <c r="I93" s="19">
        <f>1/2*BASE!$F$4*(BASE!$F$5^2)*(B93+B92)/2000*E93*0.1</f>
        <v>2.8349817909633259</v>
      </c>
      <c r="J93" s="19">
        <f>1/2*BASE!$F$4*(BASE!$F$5^2)*(B93+B92)/2000*F93*0.1</f>
        <v>2.8181239990702808E-2</v>
      </c>
    </row>
    <row r="94" spans="1:10" x14ac:dyDescent="1.1000000000000001">
      <c r="A94">
        <v>9000</v>
      </c>
      <c r="B94">
        <v>559.20000000000005</v>
      </c>
      <c r="C94" s="19">
        <f>4*$M$3*10^3*100*0.001*SQRT(1-4*A94^2/(BASE!$L$13*BASE!$L$13*4))/(PI()*BASE!$L$13*2)</f>
        <v>2.9052718076569173</v>
      </c>
      <c r="D94" s="16">
        <v>0.35790238078992831</v>
      </c>
      <c r="E94">
        <v>0.61941432670223373</v>
      </c>
      <c r="F94">
        <v>6.2126387819360172E-3</v>
      </c>
      <c r="G94">
        <v>-9.8364732523364404E-2</v>
      </c>
      <c r="H94">
        <v>0.40707647540432401</v>
      </c>
      <c r="I94" s="19">
        <f>1/2*BASE!$F$4*(BASE!$F$5^2)*(B94+B93)/2000*E94*0.1</f>
        <v>2.7772095592950587</v>
      </c>
      <c r="J94" s="19">
        <f>1/2*BASE!$F$4*(BASE!$F$5^2)*(B94+B93)/2000*F94*0.1</f>
        <v>2.7855022187651471E-2</v>
      </c>
    </row>
    <row r="95" spans="1:10" x14ac:dyDescent="1.1000000000000001">
      <c r="A95">
        <v>9100</v>
      </c>
      <c r="B95">
        <v>554.4</v>
      </c>
      <c r="C95" s="19">
        <f>4*$M$3*10^3*100*0.001*SQRT(1-4*A95^2/(BASE!$L$13*BASE!$L$13*4))/(PI()*BASE!$L$13*2)</f>
        <v>2.8348800096966937</v>
      </c>
      <c r="D95" s="16">
        <v>0.37806674089600262</v>
      </c>
      <c r="E95">
        <v>0.61138795669111756</v>
      </c>
      <c r="F95">
        <v>6.1913924645009139E-3</v>
      </c>
      <c r="G95">
        <v>-9.852049085669376E-2</v>
      </c>
      <c r="H95">
        <v>0.40957001945506982</v>
      </c>
      <c r="I95" s="19">
        <f>1/2*BASE!$F$4*(BASE!$F$5^2)*(B95+B94)/2000*E95*0.1</f>
        <v>2.717793229587147</v>
      </c>
      <c r="J95" s="19">
        <f>1/2*BASE!$F$4*(BASE!$F$5^2)*(B95+B94)/2000*F95*0.1</f>
        <v>2.752249915553813E-2</v>
      </c>
    </row>
    <row r="96" spans="1:10" x14ac:dyDescent="1.1000000000000001">
      <c r="A96">
        <v>9200</v>
      </c>
      <c r="B96">
        <v>549.6</v>
      </c>
      <c r="C96" s="19">
        <f>4*$M$3*10^3*100*0.001*SQRT(1-4*A96^2/(BASE!$L$13*BASE!$L$13*4))/(PI()*BASE!$L$13*2)</f>
        <v>2.7618870931577226</v>
      </c>
      <c r="D96" s="16">
        <v>0.40421144833937211</v>
      </c>
      <c r="E96">
        <v>0.60272795953115532</v>
      </c>
      <c r="F96">
        <v>6.1680357650074026E-3</v>
      </c>
      <c r="G96">
        <v>-9.8680520162914856E-2</v>
      </c>
      <c r="H96">
        <v>0.41226521371128788</v>
      </c>
      <c r="I96" s="19">
        <f>1/2*BASE!$F$4*(BASE!$F$5^2)*(B96+B95)/2000*E96*0.1</f>
        <v>2.6561996923310986</v>
      </c>
      <c r="J96" s="19">
        <f>1/2*BASE!$F$4*(BASE!$F$5^2)*(B96+B95)/2000*F96*0.1</f>
        <v>2.7182304126133712E-2</v>
      </c>
    </row>
    <row r="97" spans="1:10" x14ac:dyDescent="1.1000000000000001">
      <c r="A97">
        <v>9300</v>
      </c>
      <c r="B97">
        <v>544.79999999999995</v>
      </c>
      <c r="C97" s="19">
        <f>4*$M$3*10^3*100*0.001*SQRT(1-4*A97^2/(BASE!$L$13*BASE!$L$13*4))/(PI()*BASE!$L$13*2)</f>
        <v>2.6860810140958069</v>
      </c>
      <c r="D97" s="16">
        <v>0.43931239214357581</v>
      </c>
      <c r="E97">
        <v>0.59313518703069223</v>
      </c>
      <c r="F97">
        <v>6.1427393226067056E-3</v>
      </c>
      <c r="G97">
        <v>-9.8856534732516071E-2</v>
      </c>
      <c r="H97">
        <v>0.41525170677572881</v>
      </c>
      <c r="I97" s="19">
        <f>1/2*BASE!$F$4*(BASE!$F$5^2)*(B97+B96)/2000*E97*0.1</f>
        <v>2.5911949208266019</v>
      </c>
      <c r="J97" s="19">
        <f>1/2*BASE!$F$4*(BASE!$F$5^2)*(B97+B96)/2000*F97*0.1</f>
        <v>2.6835425179178748E-2</v>
      </c>
    </row>
    <row r="98" spans="1:10" x14ac:dyDescent="1.1000000000000001">
      <c r="A98">
        <v>9400</v>
      </c>
      <c r="B98">
        <v>540</v>
      </c>
      <c r="C98" s="19">
        <f>4*$M$3*10^3*100*0.001*SQRT(1-4*A98^2/(BASE!$L$13*BASE!$L$13*4))/(PI()*BASE!$L$13*2)</f>
        <v>2.6072164018704238</v>
      </c>
      <c r="D98" s="16">
        <v>0.46628639048688791</v>
      </c>
      <c r="E98">
        <v>0.58438553089223999</v>
      </c>
      <c r="F98">
        <v>6.1190798579977531E-3</v>
      </c>
      <c r="G98">
        <v>-9.9015715976217222E-2</v>
      </c>
      <c r="H98">
        <v>0.41797442177367777</v>
      </c>
      <c r="I98" s="19">
        <f>1/2*BASE!$F$4*(BASE!$F$5^2)*(B98+B97)/2000*E98*0.1</f>
        <v>2.5305763301786026</v>
      </c>
      <c r="J98" s="19">
        <f>1/2*BASE!$F$4*(BASE!$F$5^2)*(B98+B97)/2000*F98*0.1</f>
        <v>2.6497573660798142E-2</v>
      </c>
    </row>
    <row r="99" spans="1:10" x14ac:dyDescent="1.1000000000000001">
      <c r="A99">
        <v>9500</v>
      </c>
      <c r="B99">
        <v>530.66666666666663</v>
      </c>
      <c r="C99" s="19">
        <f>4*$M$3*10^3*100*0.001*SQRT(1-4*A99^2/(BASE!$L$13*BASE!$L$13*4))/(PI()*BASE!$L$13*2)</f>
        <v>2.5250066873257624</v>
      </c>
      <c r="D99" s="16">
        <v>0.42133754626625092</v>
      </c>
      <c r="E99">
        <v>0.57130420809011728</v>
      </c>
      <c r="F99">
        <v>6.1092311180927089E-3</v>
      </c>
      <c r="G99">
        <v>-9.5881077058567868E-2</v>
      </c>
      <c r="H99"/>
      <c r="I99" s="19">
        <f>1/2*BASE!$F$4*(BASE!$F$5^2)*(B99+B98)/2000*E99*0.1</f>
        <v>2.4416983819832745</v>
      </c>
      <c r="J99" s="19">
        <f>1/2*BASE!$F$4*(BASE!$F$5^2)*(B99+B98)/2000*F99*0.1</f>
        <v>2.6110257066154594E-2</v>
      </c>
    </row>
    <row r="100" spans="1:10" x14ac:dyDescent="1.1000000000000001">
      <c r="A100">
        <v>9600</v>
      </c>
      <c r="B100">
        <v>521.33333333333337</v>
      </c>
      <c r="C100" s="19">
        <f>4*$M$3*10^3*100*0.001*SQRT(1-4*A100^2/(BASE!$L$13*BASE!$L$13*4))/(PI()*BASE!$L$13*2)</f>
        <v>2.4391136564045017</v>
      </c>
      <c r="D100" s="16">
        <v>0.36797711720673998</v>
      </c>
      <c r="E100">
        <v>0.5590868332664588</v>
      </c>
      <c r="F100">
        <v>6.1011398859873046E-3</v>
      </c>
      <c r="G100">
        <v>-9.2725855429647508E-2</v>
      </c>
      <c r="H100"/>
      <c r="I100" s="19">
        <f>1/2*BASE!$F$4*(BASE!$F$5^2)*(B100+B99)/2000*E100*0.1</f>
        <v>2.3478227952775934</v>
      </c>
      <c r="J100" s="19">
        <f>1/2*BASE!$F$4*(BASE!$F$5^2)*(B100+B99)/2000*F100*0.1</f>
        <v>2.5621056424827978E-2</v>
      </c>
    </row>
    <row r="101" spans="1:10" x14ac:dyDescent="1.1000000000000001">
      <c r="A101">
        <v>9700</v>
      </c>
      <c r="B101">
        <v>512</v>
      </c>
      <c r="C101" s="19">
        <f>4*$M$3*10^3*100*0.001*SQRT(1-4*A101^2/(BASE!$L$13*BASE!$L$13*4))/(PI()*BASE!$L$13*2)</f>
        <v>2.3491333167020363</v>
      </c>
      <c r="D101" s="16">
        <v>0.32734810992053492</v>
      </c>
      <c r="E101">
        <v>0.54556036898059757</v>
      </c>
      <c r="F101">
        <v>6.0903915931365283E-3</v>
      </c>
      <c r="G101">
        <v>-8.9601635463809282E-2</v>
      </c>
      <c r="H101"/>
      <c r="I101" s="19">
        <f>1/2*BASE!$F$4*(BASE!$F$5^2)*(B101+B100)/2000*E101*0.1</f>
        <v>2.2503681063098528</v>
      </c>
      <c r="J101" s="19">
        <f>1/2*BASE!$F$4*(BASE!$F$5^2)*(B101+B100)/2000*F101*0.1</f>
        <v>2.512210155906601E-2</v>
      </c>
    </row>
    <row r="102" spans="1:10" x14ac:dyDescent="1.1000000000000001">
      <c r="A102">
        <v>9800</v>
      </c>
      <c r="B102">
        <v>502.66666666666669</v>
      </c>
      <c r="C102" s="19">
        <f>4*$M$3*10^3*100*0.001*SQRT(1-4*A102^2/(BASE!$L$13*BASE!$L$13*4))/(PI()*BASE!$L$13*2)</f>
        <v>2.2545763467626321</v>
      </c>
      <c r="D102" s="16">
        <v>0.29567718305890978</v>
      </c>
      <c r="E102">
        <v>0.53110305843039729</v>
      </c>
      <c r="F102">
        <v>6.0777940418235638E-3</v>
      </c>
      <c r="G102">
        <v>-8.6498213777683866E-2</v>
      </c>
      <c r="H102"/>
      <c r="I102" s="19">
        <f>1/2*BASE!$F$4*(BASE!$F$5^2)*(B102+B101)/2000*E102*0.1</f>
        <v>2.151158972416876</v>
      </c>
      <c r="J102" s="19">
        <f>1/2*BASE!$F$4*(BASE!$F$5^2)*(B102+B101)/2000*F102*0.1</f>
        <v>2.4617258323101934E-2</v>
      </c>
    </row>
    <row r="103" spans="1:10" x14ac:dyDescent="1.1000000000000001">
      <c r="A103">
        <v>9900</v>
      </c>
      <c r="B103">
        <v>493.33333333333331</v>
      </c>
      <c r="C103" s="19">
        <f>4*$M$3*10^3*100*0.001*SQRT(1-4*A103^2/(BASE!$L$13*BASE!$L$13*4))/(PI()*BASE!$L$13*2)</f>
        <v>2.1548403467739838</v>
      </c>
      <c r="D103" s="16">
        <v>0.27307083288411338</v>
      </c>
      <c r="E103">
        <v>0.51569311282455654</v>
      </c>
      <c r="F103">
        <v>6.0635566111889756E-3</v>
      </c>
      <c r="G103">
        <v>-8.3414943054507376E-2</v>
      </c>
      <c r="H103"/>
      <c r="I103" s="19">
        <f>1/2*BASE!$F$4*(BASE!$F$5^2)*(B103+B102)/2000*E103*0.1</f>
        <v>2.0503168475558957</v>
      </c>
      <c r="J103" s="19">
        <f>1/2*BASE!$F$4*(BASE!$F$5^2)*(B103+B102)/2000*F103*0.1</f>
        <v>2.4107772562514795E-2</v>
      </c>
    </row>
    <row r="104" spans="1:10" x14ac:dyDescent="1.1000000000000001">
      <c r="A104">
        <v>10000</v>
      </c>
      <c r="B104">
        <v>484</v>
      </c>
      <c r="C104" s="19">
        <f>4*$M$3*10^3*100*0.001*SQRT(1-4*A104^2/(BASE!$L$13*BASE!$L$13*4))/(PI()*BASE!$L$13*2)</f>
        <v>2.049169243803441</v>
      </c>
      <c r="D104" s="16">
        <v>0.2595316929259871</v>
      </c>
      <c r="E104">
        <v>0.49931214745537578</v>
      </c>
      <c r="F104">
        <v>6.0486377389742862E-3</v>
      </c>
      <c r="G104">
        <v>-8.0350922893729762E-2</v>
      </c>
      <c r="H104"/>
      <c r="I104" s="19">
        <f>1/2*BASE!$F$4*(BASE!$F$5^2)*(B104+B103)/2000*E104*0.1</f>
        <v>1.9479829604159471</v>
      </c>
      <c r="J104" s="19">
        <f>1/2*BASE!$F$4*(BASE!$F$5^2)*(B104+B103)/2000*F104*0.1</f>
        <v>2.3597750043330926E-2</v>
      </c>
    </row>
    <row r="105" spans="1:10" x14ac:dyDescent="1.1000000000000001">
      <c r="A105">
        <v>10100</v>
      </c>
      <c r="B105">
        <v>474.66666666666657</v>
      </c>
      <c r="C105" s="19">
        <f>4*$M$3*10^3*100*0.001*SQRT(1-4*A105^2/(BASE!$L$13*BASE!$L$13*4))/(PI()*BASE!$L$13*2)</f>
        <v>1.9365917257843395</v>
      </c>
      <c r="D105" s="16">
        <v>0.25669944993332833</v>
      </c>
      <c r="E105">
        <v>0.48178233859454977</v>
      </c>
      <c r="F105">
        <v>6.0325059094994684E-3</v>
      </c>
      <c r="G105">
        <v>-7.7308963197626659E-2</v>
      </c>
      <c r="H105"/>
      <c r="I105" s="19">
        <f>1/2*BASE!$F$4*(BASE!$F$5^2)*(B105+B104)/2000*E105*0.1</f>
        <v>1.8436938750526275</v>
      </c>
      <c r="J105" s="19">
        <f>1/2*BASE!$F$4*(BASE!$F$5^2)*(B105+B104)/2000*F105*0.1</f>
        <v>2.308530908170732E-2</v>
      </c>
    </row>
    <row r="106" spans="1:10" x14ac:dyDescent="1.1000000000000001">
      <c r="A106">
        <v>10200</v>
      </c>
      <c r="B106">
        <v>465.33333333333331</v>
      </c>
      <c r="C106" s="19">
        <f>4*$M$3*10^3*100*0.001*SQRT(1-4*A106^2/(BASE!$L$13*BASE!$L$13*4))/(PI()*BASE!$L$13*2)</f>
        <v>1.8158236940750114</v>
      </c>
      <c r="D106" s="16">
        <v>0.26597493676629952</v>
      </c>
      <c r="E106">
        <v>0.46294376788030928</v>
      </c>
      <c r="F106">
        <v>6.0151846817915891E-3</v>
      </c>
      <c r="G106">
        <v>-7.42701573925027E-2</v>
      </c>
      <c r="H106"/>
      <c r="I106" s="19">
        <f>1/2*BASE!$F$4*(BASE!$F$5^2)*(B106+B105)/2000*E106*0.1</f>
        <v>1.7371063432550622</v>
      </c>
      <c r="J106" s="19">
        <f>1/2*BASE!$F$4*(BASE!$F$5^2)*(B106+B105)/2000*F106*0.1</f>
        <v>2.2570809224701283E-2</v>
      </c>
    </row>
    <row r="107" spans="1:10" x14ac:dyDescent="1.1000000000000001">
      <c r="A107">
        <v>10300</v>
      </c>
      <c r="B107">
        <v>456</v>
      </c>
      <c r="C107" s="19">
        <f>4*$M$3*10^3*100*0.001*SQRT(1-4*A107^2/(BASE!$L$13*BASE!$L$13*4))/(PI()*BASE!$L$13*2)</f>
        <v>1.6851050758078954</v>
      </c>
      <c r="D107" s="16">
        <v>0.29125757943673591</v>
      </c>
      <c r="E107">
        <v>0.44232887111279862</v>
      </c>
      <c r="F107">
        <v>5.9966040601498452E-3</v>
      </c>
      <c r="G107">
        <v>-7.1230356973081804E-2</v>
      </c>
      <c r="H107"/>
      <c r="I107" s="19">
        <f>1/2*BASE!$F$4*(BASE!$F$5^2)*(B107+B106)/2000*E107*0.1</f>
        <v>1.6267933241306807</v>
      </c>
      <c r="J107" s="19">
        <f>1/2*BASE!$F$4*(BASE!$F$5^2)*(B107+B106)/2000*F107*0.1</f>
        <v>2.2054258922698747E-2</v>
      </c>
    </row>
    <row r="108" spans="1:10" x14ac:dyDescent="1.1000000000000001">
      <c r="A108">
        <v>10400</v>
      </c>
      <c r="B108">
        <v>446.66666666666657</v>
      </c>
      <c r="C108" s="19">
        <f>4*$M$3*10^3*100*0.001*SQRT(1-4*A108^2/(BASE!$L$13*BASE!$L$13*4))/(PI()*BASE!$L$13*2)</f>
        <v>1.5419071950102261</v>
      </c>
      <c r="D108" s="16">
        <v>0.3389924542573543</v>
      </c>
      <c r="E108">
        <v>0.41902189749695379</v>
      </c>
      <c r="F108">
        <v>5.9759371948686522E-3</v>
      </c>
      <c r="G108">
        <v>-6.816905459347844E-2</v>
      </c>
      <c r="H108"/>
      <c r="I108" s="19">
        <f>1/2*BASE!$F$4*(BASE!$F$5^2)*(B108+B107)/2000*E108*0.1</f>
        <v>1.509852196150411</v>
      </c>
      <c r="J108" s="19">
        <f>1/2*BASE!$F$4*(BASE!$F$5^2)*(B108+B107)/2000*F108*0.1</f>
        <v>2.1532960333642121E-2</v>
      </c>
    </row>
    <row r="109" spans="1:10" x14ac:dyDescent="1.1000000000000001">
      <c r="A109">
        <v>10500</v>
      </c>
      <c r="B109">
        <v>437.33333333333331</v>
      </c>
      <c r="C109" s="19">
        <f>4*$M$3*10^3*100*0.001*SQRT(1-4*A109^2/(BASE!$L$13*BASE!$L$13*4))/(PI()*BASE!$L$13*2)</f>
        <v>1.3823573099949693</v>
      </c>
      <c r="D109" s="16">
        <v>0.41997389541517749</v>
      </c>
      <c r="E109">
        <v>0.39216018499817928</v>
      </c>
      <c r="F109">
        <v>5.9569353172817799E-3</v>
      </c>
      <c r="G109">
        <v>-6.5207530843215261E-2</v>
      </c>
      <c r="H109"/>
      <c r="I109" s="19">
        <f>1/2*BASE!$F$4*(BASE!$F$5^2)*(B109+B108)/2000*E109*0.1</f>
        <v>1.383840619994829</v>
      </c>
      <c r="J109" s="19">
        <f>1/2*BASE!$F$4*(BASE!$F$5^2)*(B109+B108)/2000*F109*0.1</f>
        <v>2.1020617028662876E-2</v>
      </c>
    </row>
    <row r="110" spans="1:10" x14ac:dyDescent="1.1000000000000001">
      <c r="A110">
        <v>10600</v>
      </c>
      <c r="B110">
        <v>428</v>
      </c>
      <c r="C110" s="19">
        <f>4*$M$3*10^3*100*0.001*SQRT(1-4*A110^2/(BASE!$L$13*BASE!$L$13*4))/(PI()*BASE!$L$13*2)</f>
        <v>1.1999503822784556</v>
      </c>
      <c r="D110" s="16">
        <v>0.55290299488786054</v>
      </c>
      <c r="E110">
        <v>0.35965925101814339</v>
      </c>
      <c r="F110">
        <v>5.9321419544191949E-3</v>
      </c>
      <c r="G110">
        <v>-6.2236386875092337E-2</v>
      </c>
      <c r="H110"/>
      <c r="I110" s="19">
        <f>1/2*BASE!$F$4*(BASE!$F$5^2)*(B110+B109)/2000*E110*0.1</f>
        <v>1.2423529040039742</v>
      </c>
      <c r="J110" s="19">
        <f>1/2*BASE!$F$4*(BASE!$F$5^2)*(B110+B109)/2000*F110*0.1</f>
        <v>2.0491100293329369E-2</v>
      </c>
    </row>
    <row r="111" spans="1:10" x14ac:dyDescent="1.1000000000000001">
      <c r="A111">
        <v>10700</v>
      </c>
      <c r="B111">
        <v>418.66666666666657</v>
      </c>
      <c r="C111" s="19">
        <f>4*$M$3*10^3*100*0.001*SQRT(1-4*A111^2/(BASE!$L$13*BASE!$L$13*4))/(PI()*BASE!$L$13*2)</f>
        <v>0.98203124203120562</v>
      </c>
      <c r="D111" s="16">
        <v>0.78535659087723708</v>
      </c>
      <c r="E111">
        <v>0.3161632120585402</v>
      </c>
      <c r="F111">
        <v>5.8964352866694696E-3</v>
      </c>
      <c r="G111">
        <v>-5.9450112715611757E-2</v>
      </c>
      <c r="H111"/>
      <c r="I111" s="19">
        <f>1/2*BASE!$F$4*(BASE!$F$5^2)*(B111+B110)/2000*E111*0.1</f>
        <v>1.0685481766688711</v>
      </c>
      <c r="J111" s="19">
        <f>1/2*BASE!$F$4*(BASE!$F$5^2)*(B111+B110)/2000*F111*0.1</f>
        <v>1.9928394367558624E-2</v>
      </c>
    </row>
    <row r="112" spans="1:10" x14ac:dyDescent="1.1000000000000001">
      <c r="A112">
        <v>10800</v>
      </c>
      <c r="B112">
        <v>409.33333333333331</v>
      </c>
      <c r="C112" s="19">
        <f>4*$M$3*10^3*100*0.001*SQRT(1-4*A112^2/(BASE!$L$13*BASE!$L$13*4))/(PI()*BASE!$L$13*2)</f>
        <v>0.69600650405146902</v>
      </c>
      <c r="D112" s="16">
        <v>1.243233074359916</v>
      </c>
      <c r="E112">
        <v>0.24785147476405089</v>
      </c>
      <c r="F112">
        <v>5.8704795493896853E-3</v>
      </c>
      <c r="G112">
        <v>-5.6803576433590589E-2</v>
      </c>
      <c r="H112"/>
      <c r="I112" s="19">
        <f>1/2*BASE!$F$4*(BASE!$F$5^2)*(B112+B111)/2000*E112*0.1</f>
        <v>0.8192041707226263</v>
      </c>
      <c r="J112" s="19">
        <f>1/2*BASE!$F$4*(BASE!$F$5^2)*(B112+B111)/2000*F112*0.1</f>
        <v>1.9403238716171011E-2</v>
      </c>
    </row>
    <row r="113" spans="1:10" x14ac:dyDescent="1.1000000000000001">
      <c r="A113">
        <v>10900</v>
      </c>
      <c r="B113">
        <v>400</v>
      </c>
      <c r="C113" s="19">
        <f>4*$M$3*10^3*100*0.001*SQRT(1-4*A113^2/(BASE!$L$13*BASE!$L$13*4))/(PI()*BASE!$L$13*2)</f>
        <v>0</v>
      </c>
      <c r="D113" s="16">
        <v>3.1885327835965871</v>
      </c>
      <c r="E113">
        <v>5.9900000000000009E-2</v>
      </c>
      <c r="F113">
        <v>6.239999999999999E-3</v>
      </c>
      <c r="G113">
        <v>-5.5400000000000012E-2</v>
      </c>
      <c r="H113"/>
      <c r="I113" s="19">
        <f>1/2*BASE!$F$4*(BASE!$F$5^2)*(B113+B112)/2000*E113*0.1</f>
        <v>0.19351942307033379</v>
      </c>
      <c r="J113" s="19">
        <f>1/2*BASE!$F$4*(BASE!$F$5^2)*(B113+B112)/2000*F113*0.1</f>
        <v>2.0159619364922915E-2</v>
      </c>
    </row>
    <row r="114" spans="1:10" x14ac:dyDescent="1.1000000000000001">
      <c r="A114">
        <v>11000</v>
      </c>
      <c r="C114" s="19" t="e">
        <f>4*$M$3*10^3*100*0.001*SQRT(1-4*A114^2/(BASE!$L$13*BASE!$L$13*4))/(PI()*BASE!$L$13*2)</f>
        <v>#NUM!</v>
      </c>
      <c r="D114" s="16"/>
      <c r="I114" s="19"/>
      <c r="J114" s="19">
        <f>1/2*BASE!$F$4*(BASE!$F$5^2)*(B114+B113)/2000*F114*0.1</f>
        <v>0</v>
      </c>
    </row>
    <row r="115" spans="1:10" x14ac:dyDescent="1.1000000000000001">
      <c r="A115">
        <v>11100</v>
      </c>
      <c r="C115" s="19" t="e">
        <f>4*$M$3*10^3*100*0.001*SQRT(1-4*A115^2/(BASE!$L$13*BASE!$L$13*4))/(PI()*BASE!$L$13*2)</f>
        <v>#NUM!</v>
      </c>
      <c r="D115" s="16"/>
      <c r="I115" s="19"/>
      <c r="J115" s="19">
        <f>1/2*BASE!$F$4*(BASE!$F$5^2)*(B115+B114)/2000*F115*0.1</f>
        <v>0</v>
      </c>
    </row>
    <row r="116" spans="1:10" x14ac:dyDescent="1.1000000000000001">
      <c r="A116">
        <v>11200</v>
      </c>
      <c r="C116" s="19" t="e">
        <f>4*$M$3*10^3*100*0.001*SQRT(1-4*A116^2/(BASE!$L$13*BASE!$L$13*4))/(PI()*BASE!$L$13*2)</f>
        <v>#NUM!</v>
      </c>
      <c r="D116" s="16"/>
      <c r="I116" s="19"/>
      <c r="J116" s="19">
        <f>1/2*BASE!$F$4*(BASE!$F$5^2)*(B116+B115)/2000*F116*0.1</f>
        <v>0</v>
      </c>
    </row>
    <row r="117" spans="1:10" x14ac:dyDescent="1.1000000000000001">
      <c r="A117">
        <v>11300</v>
      </c>
      <c r="C117" s="19" t="e">
        <f>4*$M$3*10^3*100*0.001*SQRT(1-4*A117^2/(BASE!$L$13*BASE!$L$13*4))/(PI()*BASE!$L$13*2)</f>
        <v>#NUM!</v>
      </c>
      <c r="D117" s="16"/>
      <c r="I117" s="19"/>
      <c r="J117" s="19">
        <f>1/2*BASE!$F$4*(BASE!$F$5^2)*(B117+B116)/2000*F117*0.1</f>
        <v>0</v>
      </c>
    </row>
    <row r="118" spans="1:10" x14ac:dyDescent="1.1000000000000001">
      <c r="A118">
        <v>11400</v>
      </c>
      <c r="C118" s="19" t="e">
        <f>4*$M$3*10^3*100*0.001*SQRT(1-4*A118^2/(BASE!$L$13*BASE!$L$13*4))/(PI()*BASE!$L$13*2)</f>
        <v>#NUM!</v>
      </c>
      <c r="D118" s="16"/>
      <c r="I118" s="19"/>
      <c r="J118" s="19">
        <f>1/2*BASE!$F$4*(BASE!$F$5^2)*(B118+B117)/2000*F118*0.1</f>
        <v>0</v>
      </c>
    </row>
    <row r="119" spans="1:10" x14ac:dyDescent="1.1000000000000001">
      <c r="A119">
        <v>11500</v>
      </c>
      <c r="C119" s="19" t="e">
        <f>4*$M$3*10^3*100*0.001*SQRT(1-4*A119^2/(BASE!$L$13*BASE!$L$13*4))/(PI()*BASE!$L$13*2)</f>
        <v>#NUM!</v>
      </c>
      <c r="D119" s="16"/>
      <c r="I119" s="19"/>
      <c r="J119" s="19">
        <f>1/2*BASE!$F$4*(BASE!$F$5^2)*(B119+B118)/2000*F119*0.1</f>
        <v>0</v>
      </c>
    </row>
    <row r="120" spans="1:10" x14ac:dyDescent="1.1000000000000001">
      <c r="A120">
        <v>11600</v>
      </c>
      <c r="C120" s="19" t="e">
        <f>4*$M$3*10^3*100*0.001*SQRT(1-4*A120^2/(BASE!$L$13*BASE!$L$13*4))/(PI()*BASE!$L$13*2)</f>
        <v>#NUM!</v>
      </c>
      <c r="D120" s="16"/>
      <c r="I120" s="19"/>
      <c r="J120" s="19">
        <f>1/2*BASE!$F$4*(BASE!$F$5^2)*(B120+B119)/2000*F120*0.1</f>
        <v>0</v>
      </c>
    </row>
    <row r="121" spans="1:10" x14ac:dyDescent="1.1000000000000001">
      <c r="A121">
        <v>11700</v>
      </c>
      <c r="C121" s="19" t="e">
        <f>4*$M$3*10^3*100*0.001*SQRT(1-4*A121^2/(BASE!$L$13*BASE!$L$13*4))/(PI()*BASE!$L$13*2)</f>
        <v>#NUM!</v>
      </c>
      <c r="D121" s="16"/>
      <c r="I121" s="19"/>
      <c r="J121" s="19">
        <f>1/2*BASE!$F$4*(BASE!$F$5^2)*(B121+B120)/2000*F121*0.1</f>
        <v>0</v>
      </c>
    </row>
    <row r="122" spans="1:10" x14ac:dyDescent="1.1000000000000001">
      <c r="A122">
        <v>11800</v>
      </c>
      <c r="C122" s="19" t="e">
        <f>4*$M$3*10^3*100*0.001*SQRT(1-4*A122^2/(BASE!$L$13*BASE!$L$13*4))/(PI()*BASE!$L$13*2)</f>
        <v>#NUM!</v>
      </c>
      <c r="D122" s="16"/>
      <c r="I122" s="19"/>
      <c r="J122" s="19">
        <f>1/2*BASE!$F$4*(BASE!$F$5^2)*(B122+B121)/2000*F122*0.1</f>
        <v>0</v>
      </c>
    </row>
    <row r="123" spans="1:10" x14ac:dyDescent="1.1000000000000001">
      <c r="A123">
        <v>11900</v>
      </c>
      <c r="C123" s="19" t="e">
        <f>4*$M$3*10^3*100*0.001*SQRT(1-4*A123^2/(BASE!$L$13*BASE!$L$13*4))/(PI()*BASE!$L$13*2)</f>
        <v>#NUM!</v>
      </c>
      <c r="D123" s="16"/>
      <c r="I123" s="19"/>
      <c r="J123" s="19">
        <f>1/2*BASE!$F$4*(BASE!$F$5^2)*(B123+B122)/2000*F123*0.1</f>
        <v>0</v>
      </c>
    </row>
    <row r="124" spans="1:10" x14ac:dyDescent="1.1000000000000001">
      <c r="A124">
        <v>12000</v>
      </c>
      <c r="C124" s="19" t="e">
        <f>4*$M$3*10^3*100*0.001*SQRT(1-4*A124^2/(BASE!$L$13*BASE!$L$13*4))/(PI()*BASE!$L$13*2)</f>
        <v>#NUM!</v>
      </c>
      <c r="D124" s="16"/>
      <c r="I124" s="19"/>
      <c r="J124" s="19">
        <f>1/2*BASE!$F$4*(BASE!$F$5^2)*(B124+B123)/2000*F124*0.1</f>
        <v>0</v>
      </c>
    </row>
    <row r="125" spans="1:10" x14ac:dyDescent="1.1000000000000001">
      <c r="A125">
        <v>12100</v>
      </c>
      <c r="C125" s="19" t="e">
        <f>4*$M$3*10^3*100*0.001*SQRT(1-4*A125^2/(BASE!$L$13*BASE!$L$13*4))/(PI()*BASE!$L$13*2)</f>
        <v>#NUM!</v>
      </c>
      <c r="D125" s="16"/>
      <c r="I125" s="19"/>
      <c r="J125" s="19">
        <f>1/2*BASE!$F$4*(BASE!$F$5^2)*(B125+B124)/2000*F125*0.1</f>
        <v>0</v>
      </c>
    </row>
    <row r="126" spans="1:10" x14ac:dyDescent="1.1000000000000001">
      <c r="A126">
        <v>12200</v>
      </c>
      <c r="C126" s="19" t="e">
        <f>4*$M$3*10^3*100*0.001*SQRT(1-4*A126^2/(BASE!$L$13*BASE!$L$13*4))/(PI()*BASE!$L$13*2)</f>
        <v>#NUM!</v>
      </c>
      <c r="D126" s="16"/>
      <c r="I126" s="19"/>
      <c r="J126" s="19">
        <f>1/2*BASE!$F$4*(BASE!$F$5^2)*(B126+B125)/2000*F126*0.1</f>
        <v>0</v>
      </c>
    </row>
    <row r="127" spans="1:10" x14ac:dyDescent="1.1000000000000001">
      <c r="A127">
        <v>12300</v>
      </c>
      <c r="C127" s="19" t="e">
        <f>4*$M$3*10^3*100*0.001*SQRT(1-4*A127^2/(BASE!$L$13*BASE!$L$13*4))/(PI()*BASE!$L$13*2)</f>
        <v>#NUM!</v>
      </c>
      <c r="D127" s="16"/>
      <c r="I127" s="19"/>
      <c r="J127" s="19">
        <f>1/2*BASE!$F$4*(BASE!$F$5^2)*(B127+B126)/2000*F127*0.1</f>
        <v>0</v>
      </c>
    </row>
    <row r="128" spans="1:10" x14ac:dyDescent="1.1000000000000001">
      <c r="A128">
        <v>12400</v>
      </c>
      <c r="C128" s="19" t="e">
        <f>4*$M$3*10^3*100*0.001*SQRT(1-4*A128^2/(BASE!$L$13*BASE!$L$13*4))/(PI()*BASE!$L$13*2)</f>
        <v>#NUM!</v>
      </c>
      <c r="D128" s="16"/>
      <c r="I128" s="19"/>
      <c r="J128" s="19">
        <f>1/2*BASE!$F$4*(BASE!$F$5^2)*(B128+B127)/2000*F128*0.1</f>
        <v>0</v>
      </c>
    </row>
    <row r="129" spans="1:10" x14ac:dyDescent="1.1000000000000001">
      <c r="A129">
        <v>12500</v>
      </c>
      <c r="C129" s="19" t="e">
        <f>4*$M$3*10^3*100*0.001*SQRT(1-4*A129^2/(BASE!$L$13*BASE!$L$13*4))/(PI()*BASE!$L$13*2)</f>
        <v>#NUM!</v>
      </c>
      <c r="D129" s="16"/>
      <c r="I129" s="19"/>
      <c r="J129" s="19">
        <f>1/2*BASE!$F$4*(BASE!$F$5^2)*(B129+B128)/2000*F129*0.1</f>
        <v>0</v>
      </c>
    </row>
    <row r="130" spans="1:10" x14ac:dyDescent="1.1000000000000001">
      <c r="A130">
        <v>12600</v>
      </c>
      <c r="C130" s="19" t="e">
        <f>4*$M$3*10^3*100*0.001*SQRT(1-4*A130^2/(BASE!$L$13*BASE!$L$13*4))/(PI()*BASE!$L$13*2)</f>
        <v>#NUM!</v>
      </c>
      <c r="D130" s="16"/>
      <c r="I130" s="19"/>
      <c r="J130" s="19">
        <f>1/2*BASE!$F$4*(BASE!$F$5^2)*(B130+B129)/2000*F130*0.1</f>
        <v>0</v>
      </c>
    </row>
    <row r="131" spans="1:10" x14ac:dyDescent="1.1000000000000001">
      <c r="A131">
        <v>12700</v>
      </c>
      <c r="C131" s="19" t="e">
        <f>4*$M$3*10^3*100*0.001*SQRT(1-4*A131^2/(BASE!$L$13*BASE!$L$13*4))/(PI()*BASE!$L$13*2)</f>
        <v>#NUM!</v>
      </c>
      <c r="D131" s="16"/>
      <c r="I131" s="19"/>
      <c r="J131" s="19">
        <f>1/2*BASE!$F$4*(BASE!$F$5^2)*(B131+B130)/2000*F131*0.1</f>
        <v>0</v>
      </c>
    </row>
    <row r="132" spans="1:10" x14ac:dyDescent="1.1000000000000001">
      <c r="A132">
        <v>12800</v>
      </c>
      <c r="C132" s="19" t="e">
        <f>4*$M$3*10^3*100*0.001*SQRT(1-4*A132^2/(BASE!$L$13*BASE!$L$13*4))/(PI()*BASE!$L$13*2)</f>
        <v>#NUM!</v>
      </c>
      <c r="D132" s="16"/>
      <c r="I132" s="19"/>
      <c r="J132" s="19">
        <f>1/2*BASE!$F$4*(BASE!$F$5^2)*(B132+B131)/2000*F132*0.1</f>
        <v>0</v>
      </c>
    </row>
    <row r="133" spans="1:10" x14ac:dyDescent="1.1000000000000001">
      <c r="A133">
        <v>12900</v>
      </c>
      <c r="C133" s="19" t="e">
        <f>4*$M$3*10^3*100*0.001*SQRT(1-4*A133^2/(BASE!$L$13*BASE!$L$13*4))/(PI()*BASE!$L$13*2)</f>
        <v>#NUM!</v>
      </c>
      <c r="D133" s="16"/>
      <c r="I133" s="19"/>
      <c r="J133" s="19">
        <f>1/2*BASE!$F$4*(BASE!$F$5^2)*(B133+B132)/2000*F133*0.1</f>
        <v>0</v>
      </c>
    </row>
    <row r="134" spans="1:10" x14ac:dyDescent="1.1000000000000001">
      <c r="A134">
        <v>13000</v>
      </c>
      <c r="C134" s="19" t="e">
        <f>4*$M$3*10^3*100*0.001*SQRT(1-4*A134^2/(BASE!$L$13*BASE!$L$13*4))/(PI()*BASE!$L$13*2)</f>
        <v>#NUM!</v>
      </c>
      <c r="D134" s="16"/>
      <c r="I134" s="19"/>
      <c r="J134" s="19">
        <f>1/2*BASE!$F$4*(BASE!$F$5^2)*(B134+B133)/2000*F134*0.1</f>
        <v>0</v>
      </c>
    </row>
    <row r="135" spans="1:10" x14ac:dyDescent="1.1000000000000001">
      <c r="A135">
        <v>13100</v>
      </c>
      <c r="C135" s="19" t="e">
        <f>4*$M$3*10^3*100*0.001*SQRT(1-4*A135^2/(BASE!$L$13*BASE!$L$13*4))/(PI()*BASE!$L$13*2)</f>
        <v>#NUM!</v>
      </c>
      <c r="D135" s="16"/>
      <c r="I135" s="19"/>
      <c r="J135" s="19">
        <f>1/2*BASE!$F$4*(BASE!$F$5^2)*(B135+B134)/2000*F135*0.1</f>
        <v>0</v>
      </c>
    </row>
    <row r="136" spans="1:10" x14ac:dyDescent="1.1000000000000001">
      <c r="A136">
        <v>13200</v>
      </c>
      <c r="C136" s="19" t="e">
        <f>4*$M$3*10^3*100*0.001*SQRT(1-4*A136^2/(BASE!$L$13*BASE!$L$13*4))/(PI()*BASE!$L$13*2)</f>
        <v>#NUM!</v>
      </c>
      <c r="D136" s="16"/>
      <c r="I136" s="19"/>
      <c r="J136" s="19">
        <f>1/2*BASE!$F$4*(BASE!$F$5^2)*(B136+B135)/2000*F136*0.1</f>
        <v>0</v>
      </c>
    </row>
    <row r="137" spans="1:10" x14ac:dyDescent="1.1000000000000001">
      <c r="A137">
        <v>13300</v>
      </c>
      <c r="C137" s="19" t="e">
        <f>4*$M$3*10^3*100*0.001*SQRT(1-4*A137^2/(BASE!$L$13*BASE!$L$13*4))/(PI()*BASE!$L$13*2)</f>
        <v>#NUM!</v>
      </c>
      <c r="D137" s="16"/>
      <c r="I137" s="19"/>
      <c r="J137" s="19">
        <f>1/2*BASE!$F$4*(BASE!$F$5^2)*(B137+B136)/2000*F137*0.1</f>
        <v>0</v>
      </c>
    </row>
    <row r="138" spans="1:10" x14ac:dyDescent="1.1000000000000001">
      <c r="A138">
        <v>13400</v>
      </c>
      <c r="C138" s="19" t="e">
        <f>4*$M$3*10^3*100*0.001*SQRT(1-4*A138^2/(BASE!$L$13*BASE!$L$13*4))/(PI()*BASE!$L$13*2)</f>
        <v>#NUM!</v>
      </c>
      <c r="D138" s="16"/>
      <c r="I138" s="19"/>
      <c r="J138" s="19">
        <f>1/2*BASE!$F$4*(BASE!$F$5^2)*(B138+B137)/2000*F138*0.1</f>
        <v>0</v>
      </c>
    </row>
    <row r="139" spans="1:10" x14ac:dyDescent="1.1000000000000001">
      <c r="A139">
        <v>13500</v>
      </c>
      <c r="C139" s="19" t="e">
        <f>4*$M$3*10^3*100*0.001*SQRT(1-4*A139^2/(BASE!$L$13*BASE!$L$13*4))/(PI()*BASE!$L$13*2)</f>
        <v>#NUM!</v>
      </c>
      <c r="D139" s="16"/>
      <c r="I139" s="19"/>
      <c r="J139" s="19">
        <f>1/2*BASE!$F$4*(BASE!$F$5^2)*(B139+B138)/2000*F139*0.1</f>
        <v>0</v>
      </c>
    </row>
    <row r="140" spans="1:10" x14ac:dyDescent="1.1000000000000001">
      <c r="A140">
        <v>13600</v>
      </c>
      <c r="C140" s="19" t="e">
        <f>4*$M$3*10^3*100*0.001*SQRT(1-4*A140^2/(BASE!$L$13*BASE!$L$13*4))/(PI()*BASE!$L$13*2)</f>
        <v>#NUM!</v>
      </c>
      <c r="D140" s="16"/>
      <c r="I140" s="19"/>
      <c r="J140" s="19">
        <f>1/2*BASE!$F$4*(BASE!$F$5^2)*(B140+B139)/2000*F140*0.1</f>
        <v>0</v>
      </c>
    </row>
    <row r="141" spans="1:10" x14ac:dyDescent="1.1000000000000001">
      <c r="A141">
        <v>13700</v>
      </c>
      <c r="C141" s="19" t="e">
        <f>4*$M$3*10^3*100*0.001*SQRT(1-4*A141^2/(BASE!$L$13*BASE!$L$13*4))/(PI()*BASE!$L$13*2)</f>
        <v>#NUM!</v>
      </c>
      <c r="D141" s="16"/>
      <c r="I141" s="19"/>
      <c r="J141" s="19">
        <f>1/2*BASE!$F$4*(BASE!$F$5^2)*(B141+B140)/2000*F141*0.1</f>
        <v>0</v>
      </c>
    </row>
    <row r="142" spans="1:10" x14ac:dyDescent="1.1000000000000001">
      <c r="A142">
        <v>13800</v>
      </c>
      <c r="C142" s="19" t="e">
        <f>4*$M$3*10^3*100*0.001*SQRT(1-4*A142^2/(BASE!$L$13*BASE!$L$13*4))/(PI()*BASE!$L$13*2)</f>
        <v>#NUM!</v>
      </c>
      <c r="D142" s="16"/>
      <c r="I142" s="19"/>
      <c r="J142" s="19">
        <f>1/2*BASE!$F$4*(BASE!$F$5^2)*(B142+B141)/2000*F142*0.1</f>
        <v>0</v>
      </c>
    </row>
    <row r="143" spans="1:10" x14ac:dyDescent="1.1000000000000001">
      <c r="A143">
        <v>13900</v>
      </c>
      <c r="C143" s="19" t="e">
        <f>4*$M$3*10^3*100*0.001*SQRT(1-4*A143^2/(BASE!$L$13*BASE!$L$13*4))/(PI()*BASE!$L$13*2)</f>
        <v>#NUM!</v>
      </c>
      <c r="D143" s="16"/>
      <c r="I143" s="19"/>
      <c r="J143" s="19">
        <f>1/2*BASE!$F$4*(BASE!$F$5^2)*(B143+B142)/2000*F143*0.1</f>
        <v>0</v>
      </c>
    </row>
    <row r="144" spans="1:10" x14ac:dyDescent="1.1000000000000001">
      <c r="A144">
        <v>14000</v>
      </c>
      <c r="C144" s="19" t="e">
        <f>4*$M$3*10^3*100*0.001*SQRT(1-4*A144^2/(BASE!$L$13*BASE!$L$13*4))/(PI()*BASE!$L$13*2)</f>
        <v>#NUM!</v>
      </c>
      <c r="D144" s="16"/>
      <c r="I144" s="19"/>
      <c r="J144" s="19">
        <f>1/2*BASE!$F$4*(BASE!$F$5^2)*(B144+B143)/2000*F144*0.1</f>
        <v>0</v>
      </c>
    </row>
    <row r="145" spans="1:10" x14ac:dyDescent="1.1000000000000001">
      <c r="A145">
        <v>14100</v>
      </c>
      <c r="C145" s="19" t="e">
        <f>4*$M$3*10^3*100*0.001*SQRT(1-4*A145^2/(BASE!$L$13*BASE!$L$13*4))/(PI()*BASE!$L$13*2)</f>
        <v>#NUM!</v>
      </c>
      <c r="D145" s="16"/>
      <c r="I145" s="19"/>
      <c r="J145" s="19">
        <f>1/2*BASE!$F$4*(BASE!$F$5^2)*(B145+B144)/2000*F145*0.1</f>
        <v>0</v>
      </c>
    </row>
    <row r="146" spans="1:10" x14ac:dyDescent="1.1000000000000001">
      <c r="A146">
        <v>14200</v>
      </c>
      <c r="C146" s="19" t="e">
        <f>4*$M$3*10^3*100*0.001*SQRT(1-4*A146^2/(BASE!$L$13*BASE!$L$13*4))/(PI()*BASE!$L$13*2)</f>
        <v>#NUM!</v>
      </c>
      <c r="D146" s="16"/>
      <c r="I146" s="19"/>
      <c r="J146" s="19">
        <f>1/2*BASE!$F$4*(BASE!$F$5^2)*(B146+B145)/2000*F146*0.1</f>
        <v>0</v>
      </c>
    </row>
    <row r="147" spans="1:10" x14ac:dyDescent="1.1000000000000001">
      <c r="A147">
        <v>14300</v>
      </c>
      <c r="C147" s="19" t="e">
        <f>4*$M$3*10^3*100*0.001*SQRT(1-4*A147^2/(BASE!$L$13*BASE!$L$13*4))/(PI()*BASE!$L$13*2)</f>
        <v>#NUM!</v>
      </c>
      <c r="D147" s="16"/>
      <c r="I147" s="19"/>
      <c r="J147" s="19">
        <f>1/2*BASE!$F$4*(BASE!$F$5^2)*(B147+B146)/2000*F147*0.1</f>
        <v>0</v>
      </c>
    </row>
    <row r="148" spans="1:10" x14ac:dyDescent="1.1000000000000001">
      <c r="A148">
        <v>14400</v>
      </c>
      <c r="C148" s="19" t="e">
        <f>4*$M$3*10^3*100*0.001*SQRT(1-4*A148^2/(BASE!$L$13*BASE!$L$13*4))/(PI()*BASE!$L$13*2)</f>
        <v>#NUM!</v>
      </c>
      <c r="D148" s="16"/>
      <c r="I148" s="19"/>
      <c r="J148" s="19">
        <f>1/2*BASE!$F$4*(BASE!$F$5^2)*(B148+B147)/2000*F148*0.1</f>
        <v>0</v>
      </c>
    </row>
    <row r="149" spans="1:10" x14ac:dyDescent="1.1000000000000001">
      <c r="A149">
        <v>14500</v>
      </c>
      <c r="C149" s="19" t="e">
        <f>4*$M$3*10^3*100*0.001*SQRT(1-4*A149^2/(BASE!$L$13*BASE!$L$13*4))/(PI()*BASE!$L$13*2)</f>
        <v>#NUM!</v>
      </c>
      <c r="D149" s="16"/>
      <c r="I149" s="19"/>
      <c r="J149" s="19">
        <f>1/2*BASE!$F$4*(BASE!$F$5^2)*(B149+B148)/2000*F149*0.1</f>
        <v>0</v>
      </c>
    </row>
    <row r="150" spans="1:10" x14ac:dyDescent="1.1000000000000001">
      <c r="A150">
        <v>14600</v>
      </c>
      <c r="C150" s="19" t="e">
        <f>4*$M$3*10^3*100*0.001*SQRT(1-4*A150^2/(BASE!$L$13*BASE!$L$13*4))/(PI()*BASE!$L$13*2)</f>
        <v>#NUM!</v>
      </c>
      <c r="D150" s="16"/>
      <c r="I150" s="19"/>
      <c r="J150" s="19">
        <f>1/2*BASE!$F$4*(BASE!$F$5^2)*(B150+B149)/2000*F150*0.1</f>
        <v>0</v>
      </c>
    </row>
    <row r="151" spans="1:10" x14ac:dyDescent="1.1000000000000001">
      <c r="A151">
        <v>14700</v>
      </c>
      <c r="C151" s="19" t="e">
        <f>4*$M$3*10^3*100*0.001*SQRT(1-4*A151^2/(BASE!$L$13*BASE!$L$13*4))/(PI()*BASE!$L$13*2)</f>
        <v>#NUM!</v>
      </c>
      <c r="D151" s="16"/>
      <c r="I151" s="19"/>
      <c r="J151" s="19">
        <f>1/2*BASE!$F$4*(BASE!$F$5^2)*(B151+B150)/2000*F151*0.1</f>
        <v>0</v>
      </c>
    </row>
    <row r="152" spans="1:10" x14ac:dyDescent="1.1000000000000001">
      <c r="A152">
        <v>14800</v>
      </c>
      <c r="C152" s="19" t="e">
        <f>4*$M$3*10^3*100*0.001*SQRT(1-4*A152^2/(BASE!$L$13*BASE!$L$13*4))/(PI()*BASE!$L$13*2)</f>
        <v>#NUM!</v>
      </c>
      <c r="D152" s="16"/>
      <c r="I152" s="19"/>
      <c r="J152" s="19">
        <f>1/2*BASE!$F$4*(BASE!$F$5^2)*(B152+B151)/2000*F152*0.1</f>
        <v>0</v>
      </c>
    </row>
    <row r="153" spans="1:10" x14ac:dyDescent="1.1000000000000001">
      <c r="A153">
        <v>14900</v>
      </c>
      <c r="C153" s="19" t="e">
        <f>4*$M$3*10^3*100*0.001*SQRT(1-4*A153^2/(BASE!$L$13*BASE!$L$13*4))/(PI()*BASE!$L$13*2)</f>
        <v>#NUM!</v>
      </c>
      <c r="D153" s="16"/>
      <c r="I153" s="19"/>
      <c r="J153" s="19">
        <f>1/2*BASE!$F$4*(BASE!$F$5^2)*(B153+B152)/2000*F153*0.1</f>
        <v>0</v>
      </c>
    </row>
    <row r="154" spans="1:10" x14ac:dyDescent="1.1000000000000001">
      <c r="A154">
        <v>15000</v>
      </c>
      <c r="C154" s="19" t="e">
        <f>4*$M$3*10^3*100*0.001*SQRT(1-4*A154^2/(BASE!$L$13*BASE!$L$13*4))/(PI()*BASE!$L$13*2)</f>
        <v>#NUM!</v>
      </c>
      <c r="D154" s="16"/>
      <c r="I154" s="19"/>
      <c r="J154" s="19">
        <f>1/2*BASE!$F$4*(BASE!$F$5^2)*(B154+B153)/2000*F154*0.1</f>
        <v>0</v>
      </c>
    </row>
    <row r="155" spans="1:10" x14ac:dyDescent="1.1000000000000001">
      <c r="A155">
        <v>15100</v>
      </c>
      <c r="C155" s="19" t="e">
        <f>4*$M$3*10^3*100*0.001*SQRT(1-4*A155^2/(BASE!$L$13*BASE!$L$13*4))/(PI()*BASE!$L$13*2)</f>
        <v>#NUM!</v>
      </c>
      <c r="D155" s="16"/>
      <c r="I155" s="19"/>
      <c r="J155" s="19">
        <f>1/2*BASE!$F$4*(BASE!$F$5^2)*(B155+B154)/2000*F155*0.1</f>
        <v>0</v>
      </c>
    </row>
    <row r="156" spans="1:10" x14ac:dyDescent="1.1000000000000001">
      <c r="A156">
        <v>15200</v>
      </c>
      <c r="C156" s="19" t="e">
        <f>4*$M$3*10^3*100*0.001*SQRT(1-4*A156^2/(BASE!$L$13*BASE!$L$13*4))/(PI()*BASE!$L$13*2)</f>
        <v>#NUM!</v>
      </c>
      <c r="D156" s="16"/>
      <c r="I156" s="19"/>
      <c r="J156" s="19">
        <f>1/2*BASE!$F$4*(BASE!$F$5^2)*(B156+B155)/2000*F156*0.1</f>
        <v>0</v>
      </c>
    </row>
    <row r="157" spans="1:10" x14ac:dyDescent="1.1000000000000001">
      <c r="A157">
        <v>15300</v>
      </c>
      <c r="C157" s="19" t="e">
        <f>4*$M$3*10^3*100*0.001*SQRT(1-4*A157^2/(BASE!$L$13*BASE!$L$13*4))/(PI()*BASE!$L$13*2)</f>
        <v>#NUM!</v>
      </c>
      <c r="D157" s="16"/>
      <c r="I157" s="19"/>
      <c r="J157" s="19">
        <f>1/2*BASE!$F$4*(BASE!$F$5^2)*(B157+B156)/2000*F157*0.1</f>
        <v>0</v>
      </c>
    </row>
    <row r="158" spans="1:10" x14ac:dyDescent="1.1000000000000001">
      <c r="A158">
        <v>15400</v>
      </c>
      <c r="C158" s="19" t="e">
        <f>4*$M$3*10^3*100*0.001*SQRT(1-4*A158^2/(BASE!$L$13*BASE!$L$13*4))/(PI()*BASE!$L$13*2)</f>
        <v>#NUM!</v>
      </c>
      <c r="D158" s="16"/>
      <c r="I158" s="19"/>
      <c r="J158" s="19">
        <f>1/2*BASE!$F$4*(BASE!$F$5^2)*(B158+B157)/2000*F158*0.1</f>
        <v>0</v>
      </c>
    </row>
    <row r="159" spans="1:10" x14ac:dyDescent="1.1000000000000001">
      <c r="A159">
        <v>15500</v>
      </c>
      <c r="C159" s="19" t="e">
        <f>4*$M$3*10^3*100*0.001*SQRT(1-4*A159^2/(BASE!$L$13*BASE!$L$13*4))/(PI()*BASE!$L$13*2)</f>
        <v>#NUM!</v>
      </c>
      <c r="D159" s="16"/>
      <c r="I159" s="19"/>
      <c r="J159" s="19">
        <f>1/2*BASE!$F$4*(BASE!$F$5^2)*(B159+B158)/2000*F159*0.1</f>
        <v>0</v>
      </c>
    </row>
    <row r="160" spans="1:10" x14ac:dyDescent="1.1000000000000001">
      <c r="A160">
        <v>15600</v>
      </c>
      <c r="C160" s="19" t="e">
        <f>4*$M$3*10^3*100*0.001*SQRT(1-4*A160^2/(BASE!$L$13*BASE!$L$13*4))/(PI()*BASE!$L$13*2)</f>
        <v>#NUM!</v>
      </c>
      <c r="D160" s="16"/>
      <c r="I160" s="19"/>
      <c r="J160" s="19">
        <f>1/2*BASE!$F$4*(BASE!$F$5^2)*(B160+B159)/2000*F160*0.1</f>
        <v>0</v>
      </c>
    </row>
    <row r="161" spans="1:10" x14ac:dyDescent="1.1000000000000001">
      <c r="A161">
        <v>15700</v>
      </c>
      <c r="C161" s="19" t="e">
        <f>4*$M$3*10^3*100*0.001*SQRT(1-4*A161^2/(BASE!$L$13*BASE!$L$13*4))/(PI()*BASE!$L$13*2)</f>
        <v>#NUM!</v>
      </c>
      <c r="D161" s="16"/>
      <c r="I161" s="19"/>
      <c r="J161" s="19">
        <f>1/2*BASE!$F$4*(BASE!$F$5^2)*(B161+B160)/2000*F161*0.1</f>
        <v>0</v>
      </c>
    </row>
    <row r="162" spans="1:10" x14ac:dyDescent="1.1000000000000001">
      <c r="A162">
        <v>15800</v>
      </c>
      <c r="C162" s="19" t="e">
        <f>4*$M$3*10^3*100*0.001*SQRT(1-4*A162^2/(BASE!$L$13*BASE!$L$13*4))/(PI()*BASE!$L$13*2)</f>
        <v>#NUM!</v>
      </c>
      <c r="D162" s="16"/>
      <c r="I162" s="19"/>
      <c r="J162" s="19">
        <f>1/2*BASE!$F$4*(BASE!$F$5^2)*(B162+B161)/2000*F162*0.1</f>
        <v>0</v>
      </c>
    </row>
    <row r="163" spans="1:10" x14ac:dyDescent="1.1000000000000001">
      <c r="A163">
        <v>15900</v>
      </c>
      <c r="C163" s="19" t="e">
        <f>4*$M$3*10^3*100*0.001*SQRT(1-4*A163^2/(BASE!$L$13*BASE!$L$13*4))/(PI()*BASE!$L$13*2)</f>
        <v>#NUM!</v>
      </c>
      <c r="D163" s="16"/>
      <c r="I163" s="19"/>
      <c r="J163" s="19">
        <f>1/2*BASE!$F$4*(BASE!$F$5^2)*(B163+B162)/2000*F163*0.1</f>
        <v>0</v>
      </c>
    </row>
    <row r="164" spans="1:10" x14ac:dyDescent="1.1000000000000001">
      <c r="A164">
        <v>16000</v>
      </c>
      <c r="C164" s="19" t="e">
        <f>4*$M$3*10^3*100*0.001*SQRT(1-4*A164^2/(BASE!$L$13*BASE!$L$13*4))/(PI()*BASE!$L$13*2)</f>
        <v>#NUM!</v>
      </c>
      <c r="D164" s="16"/>
      <c r="I164" s="19"/>
      <c r="J164" s="19">
        <f>1/2*BASE!$F$4*(BASE!$F$5^2)*(B164+B163)/2000*F164*0.1</f>
        <v>0</v>
      </c>
    </row>
    <row r="165" spans="1:10" x14ac:dyDescent="1.1000000000000001">
      <c r="A165">
        <v>16100</v>
      </c>
      <c r="C165" s="19" t="e">
        <f>4*$M$3*10^3*100*0.001*SQRT(1-4*A165^2/(BASE!$L$13*BASE!$L$13*4))/(PI()*BASE!$L$13*2)</f>
        <v>#NUM!</v>
      </c>
      <c r="D165" s="16"/>
      <c r="I165" s="19"/>
      <c r="J165" s="19">
        <f>1/2*BASE!$F$4*(BASE!$F$5^2)*(B165+B164)/2000*F165*0.1</f>
        <v>0</v>
      </c>
    </row>
    <row r="166" spans="1:10" x14ac:dyDescent="1.1000000000000001">
      <c r="A166">
        <v>16200</v>
      </c>
      <c r="C166" s="19" t="e">
        <f>4*$M$3*10^3*100*0.001*SQRT(1-4*A166^2/(BASE!$L$13*BASE!$L$13*4))/(PI()*BASE!$L$13*2)</f>
        <v>#NUM!</v>
      </c>
      <c r="D166" s="16"/>
      <c r="I166" s="19"/>
      <c r="J166" s="19">
        <f>1/2*BASE!$F$4*(BASE!$F$5^2)*(B166+B165)/2000*F166*0.1</f>
        <v>0</v>
      </c>
    </row>
    <row r="167" spans="1:10" x14ac:dyDescent="1.1000000000000001">
      <c r="A167">
        <v>16300</v>
      </c>
      <c r="C167" s="19" t="e">
        <f>4*$M$3*10^3*100*0.001*SQRT(1-4*A167^2/(BASE!$L$13*BASE!$L$13*4))/(PI()*BASE!$L$13*2)</f>
        <v>#NUM!</v>
      </c>
      <c r="D167" s="16"/>
      <c r="I167" s="19"/>
      <c r="J167" s="19">
        <f>1/2*BASE!$F$4*(BASE!$F$5^2)*(B167+B166)/2000*F167*0.1</f>
        <v>0</v>
      </c>
    </row>
    <row r="168" spans="1:10" x14ac:dyDescent="1.1000000000000001">
      <c r="A168">
        <v>16400</v>
      </c>
      <c r="C168" s="19" t="e">
        <f>4*$M$3*10^3*100*0.001*SQRT(1-4*A168^2/(BASE!$L$13*BASE!$L$13*4))/(PI()*BASE!$L$13*2)</f>
        <v>#NUM!</v>
      </c>
      <c r="D168" s="16"/>
      <c r="I168" s="19"/>
      <c r="J168" s="19">
        <f>1/2*BASE!$F$4*(BASE!$F$5^2)*(B168+B167)/2000*F168*0.1</f>
        <v>0</v>
      </c>
    </row>
    <row r="169" spans="1:10" x14ac:dyDescent="1.1000000000000001">
      <c r="A169">
        <v>16500</v>
      </c>
      <c r="C169" s="19" t="e">
        <f>4*$M$3*10^3*100*0.001*SQRT(1-4*A169^2/(BASE!$L$13*BASE!$L$13*4))/(PI()*BASE!$L$13*2)</f>
        <v>#NUM!</v>
      </c>
      <c r="D169" s="16"/>
      <c r="I169" s="19"/>
      <c r="J169" s="19">
        <f>1/2*BASE!$F$4*(BASE!$F$5^2)*(B169+B168)/2000*F169*0.1</f>
        <v>0</v>
      </c>
    </row>
    <row r="170" spans="1:10" x14ac:dyDescent="1.1000000000000001">
      <c r="A170">
        <v>16600</v>
      </c>
      <c r="C170" s="19" t="e">
        <f>4*$M$3*10^3*100*0.001*SQRT(1-4*A170^2/(BASE!$L$13*BASE!$L$13*4))/(PI()*BASE!$L$13*2)</f>
        <v>#NUM!</v>
      </c>
      <c r="D170" s="16"/>
      <c r="I170" s="19"/>
      <c r="J170" s="19">
        <f>1/2*BASE!$F$4*(BASE!$F$5^2)*(B170+B169)/2000*F170*0.1</f>
        <v>0</v>
      </c>
    </row>
    <row r="171" spans="1:10" x14ac:dyDescent="1.1000000000000001">
      <c r="A171">
        <v>16700</v>
      </c>
      <c r="C171" s="19" t="e">
        <f>4*$M$3*10^3*100*0.001*SQRT(1-4*A171^2/(BASE!$L$13*BASE!$L$13*4))/(PI()*BASE!$L$13*2)</f>
        <v>#NUM!</v>
      </c>
      <c r="D171" s="16"/>
      <c r="I171" s="19"/>
      <c r="J171" s="19">
        <f>1/2*BASE!$F$4*(BASE!$F$5^2)*(B171+B170)/2000*F171*0.1</f>
        <v>0</v>
      </c>
    </row>
    <row r="172" spans="1:10" x14ac:dyDescent="1.1000000000000001">
      <c r="A172">
        <v>16800</v>
      </c>
      <c r="C172" s="19" t="e">
        <f>4*$M$3*10^3*100*0.001*SQRT(1-4*A172^2/(BASE!$L$13*BASE!$L$13*4))/(PI()*BASE!$L$13*2)</f>
        <v>#NUM!</v>
      </c>
      <c r="D172" s="16"/>
      <c r="I172" s="19"/>
      <c r="J172" s="19">
        <f>1/2*BASE!$F$4*(BASE!$F$5^2)*(B172+B171)/2000*F172*0.1</f>
        <v>0</v>
      </c>
    </row>
    <row r="173" spans="1:10" x14ac:dyDescent="1.1000000000000001">
      <c r="A173">
        <v>16900</v>
      </c>
      <c r="C173" s="19" t="e">
        <f>4*$M$3*10^3*100*0.001*SQRT(1-4*A173^2/(BASE!$L$13*BASE!$L$13*4))/(PI()*BASE!$L$13*2)</f>
        <v>#NUM!</v>
      </c>
      <c r="D173" s="16"/>
      <c r="I173" s="19"/>
      <c r="J173" s="19">
        <f>1/2*BASE!$F$4*(BASE!$F$5^2)*(B173+B172)/2000*F173*0.1</f>
        <v>0</v>
      </c>
    </row>
    <row r="174" spans="1:10" x14ac:dyDescent="1.1000000000000001">
      <c r="A174">
        <v>17000</v>
      </c>
      <c r="C174" s="19" t="e">
        <f>4*$M$3*10^3*100*0.001*SQRT(1-4*A174^2/(BASE!$L$13*BASE!$L$13*4))/(PI()*BASE!$L$13*2)</f>
        <v>#NUM!</v>
      </c>
      <c r="D174" s="16"/>
      <c r="I174" s="19"/>
      <c r="J174" s="19">
        <f>1/2*BASE!$F$4*(BASE!$F$5^2)*(B174+B173)/2000*F174*0.1</f>
        <v>0</v>
      </c>
    </row>
    <row r="175" spans="1:10" x14ac:dyDescent="1.1000000000000001">
      <c r="A175">
        <v>17100</v>
      </c>
      <c r="C175" s="19" t="e">
        <f>4*$M$3*10^3*100*0.001*SQRT(1-4*A175^2/(BASE!$L$13*BASE!$L$13*4))/(PI()*BASE!$L$13*2)</f>
        <v>#NUM!</v>
      </c>
      <c r="D175" s="16"/>
      <c r="I175" s="19"/>
      <c r="J175" s="19">
        <f>1/2*BASE!$F$4*(BASE!$F$5^2)*(B175+B174)/2000*F175*0.1</f>
        <v>0</v>
      </c>
    </row>
    <row r="176" spans="1:10" x14ac:dyDescent="1.1000000000000001">
      <c r="A176">
        <v>17200</v>
      </c>
      <c r="C176" s="19" t="e">
        <f>4*$M$3*10^3*100*0.001*SQRT(1-4*A176^2/(BASE!$L$13*BASE!$L$13*4))/(PI()*BASE!$L$13*2)</f>
        <v>#NUM!</v>
      </c>
      <c r="D176" s="16"/>
      <c r="I176" s="19"/>
      <c r="J176" s="19">
        <f>1/2*BASE!$F$4*(BASE!$F$5^2)*(B176+B175)/2000*F176*0.1</f>
        <v>0</v>
      </c>
    </row>
    <row r="177" spans="1:10" x14ac:dyDescent="1.1000000000000001">
      <c r="A177">
        <v>17300</v>
      </c>
      <c r="C177" s="19" t="e">
        <f>4*$M$3*10^3*100*0.001*SQRT(1-4*A177^2/(BASE!$L$13*BASE!$L$13*4))/(PI()*BASE!$L$13*2)</f>
        <v>#NUM!</v>
      </c>
      <c r="D177" s="16"/>
      <c r="I177" s="19"/>
      <c r="J177" s="19">
        <f>1/2*BASE!$F$4*(BASE!$F$5^2)*(B177+B176)/2000*F177*0.1</f>
        <v>0</v>
      </c>
    </row>
    <row r="178" spans="1:10" x14ac:dyDescent="1.1000000000000001">
      <c r="A178">
        <v>17400</v>
      </c>
      <c r="C178" s="19" t="e">
        <f>4*$M$3*10^3*100*0.001*SQRT(1-4*A178^2/(BASE!$L$13*BASE!$L$13*4))/(PI()*BASE!$L$13*2)</f>
        <v>#NUM!</v>
      </c>
      <c r="D178" s="16"/>
      <c r="I178" s="19"/>
      <c r="J178" s="19">
        <f>1/2*BASE!$F$4*(BASE!$F$5^2)*(B178+B177)/2000*F178*0.1</f>
        <v>0</v>
      </c>
    </row>
    <row r="179" spans="1:10" x14ac:dyDescent="1.1000000000000001">
      <c r="A179">
        <v>17500</v>
      </c>
      <c r="C179" s="19" t="e">
        <f>4*$M$3*10^3*100*0.001*SQRT(1-4*A179^2/(BASE!$L$13*BASE!$L$13*4))/(PI()*BASE!$L$13*2)</f>
        <v>#NUM!</v>
      </c>
      <c r="D179" s="16"/>
      <c r="I179" s="19"/>
      <c r="J179" s="19">
        <f>1/2*BASE!$F$4*(BASE!$F$5^2)*(B179+B178)/2000*F179*0.1</f>
        <v>0</v>
      </c>
    </row>
    <row r="180" spans="1:10" x14ac:dyDescent="1.1000000000000001">
      <c r="A180">
        <v>17600</v>
      </c>
      <c r="C180" s="19" t="e">
        <f>4*$M$3*10^3*100*0.001*SQRT(1-4*A180^2/(BASE!$L$13*BASE!$L$13*4))/(PI()*BASE!$L$13*2)</f>
        <v>#NUM!</v>
      </c>
      <c r="D180" s="16"/>
      <c r="I180" s="19"/>
      <c r="J180" s="19">
        <f>1/2*BASE!$F$4*(BASE!$F$5^2)*(B180+B179)/2000*F180*0.1</f>
        <v>0</v>
      </c>
    </row>
    <row r="181" spans="1:10" x14ac:dyDescent="1.1000000000000001">
      <c r="A181">
        <v>17700</v>
      </c>
      <c r="C181" s="19" t="e">
        <f>4*$M$3*10^3*100*0.001*SQRT(1-4*A181^2/(BASE!$L$13*BASE!$L$13*4))/(PI()*BASE!$L$13*2)</f>
        <v>#NUM!</v>
      </c>
      <c r="D181" s="16"/>
      <c r="I181" s="19"/>
      <c r="J181" s="19">
        <f>1/2*BASE!$F$4*(BASE!$F$5^2)*(B181+B180)/2000*F181*0.1</f>
        <v>0</v>
      </c>
    </row>
  </sheetData>
  <mergeCells count="3">
    <mergeCell ref="L2:M2"/>
    <mergeCell ref="B1:E2"/>
    <mergeCell ref="G1:H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181"/>
  <sheetViews>
    <sheetView zoomScale="55" zoomScaleNormal="55" workbookViewId="0">
      <pane xSplit="1" topLeftCell="B1" activePane="topRight" state="frozen"/>
      <selection activeCell="A167" sqref="A167"/>
      <selection pane="topRight" activeCell="P122" sqref="P122"/>
    </sheetView>
  </sheetViews>
  <sheetFormatPr defaultRowHeight="18" x14ac:dyDescent="1.1000000000000001"/>
  <cols>
    <col min="8" max="8" width="11.1640625" style="8" customWidth="1"/>
    <col min="12" max="12" width="12.0390625" style="8" customWidth="1"/>
  </cols>
  <sheetData>
    <row r="1" spans="1:13" ht="18" customHeight="1" x14ac:dyDescent="1.1000000000000001">
      <c r="A1" s="17"/>
      <c r="B1" s="45" t="s">
        <v>85</v>
      </c>
      <c r="C1" s="46"/>
      <c r="D1" s="46"/>
      <c r="E1" s="47"/>
      <c r="G1" s="48" t="s">
        <v>67</v>
      </c>
      <c r="H1" s="33"/>
    </row>
    <row r="2" spans="1:13" ht="18.5" customHeight="1" x14ac:dyDescent="1.1000000000000001">
      <c r="B2" s="29"/>
      <c r="C2" s="39"/>
      <c r="D2" s="39"/>
      <c r="E2" s="40"/>
      <c r="G2" s="37"/>
      <c r="H2" s="33"/>
      <c r="L2" s="26" t="s">
        <v>68</v>
      </c>
      <c r="M2" s="27"/>
    </row>
    <row r="3" spans="1:13" x14ac:dyDescent="1.1000000000000001">
      <c r="B3" t="s">
        <v>42</v>
      </c>
      <c r="C3" s="20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I3" s="19" t="s">
        <v>75</v>
      </c>
      <c r="J3" s="19" t="s">
        <v>76</v>
      </c>
      <c r="L3" s="2" t="s">
        <v>77</v>
      </c>
      <c r="M3" s="4">
        <v>900</v>
      </c>
    </row>
    <row r="4" spans="1:13" x14ac:dyDescent="1.1000000000000001">
      <c r="A4">
        <v>0</v>
      </c>
      <c r="B4">
        <v>860</v>
      </c>
      <c r="C4" s="19">
        <f>4*$M$3*10^3*100*0.001*SQRT(1-4*A4^2/(BASE限界!$L$13*BASE限界!$L$13*4))/(PI()*BASE限界!$L$13*2)</f>
        <v>5.2564935333103051</v>
      </c>
      <c r="D4" s="16">
        <v>0.8240978542862355</v>
      </c>
      <c r="E4">
        <v>1.351139694411406</v>
      </c>
      <c r="F4">
        <v>1.1782165149713031E-2</v>
      </c>
      <c r="G4">
        <v>-0.1932650763971486</v>
      </c>
      <c r="H4">
        <v>0.38646146781429352</v>
      </c>
      <c r="I4" s="19">
        <f>1/2*BASE限界!$F$4*(BASE限界!$F$5^2)*B4/1000*E4*0.1</f>
        <v>5.5746754692922451</v>
      </c>
      <c r="J4" s="19">
        <f>1/2*BASE限界!$F$4*(BASE限界!$F$5^2)*B4/1000*F4*0.1</f>
        <v>4.8612106732507786E-2</v>
      </c>
      <c r="L4" s="2" t="s">
        <v>78</v>
      </c>
      <c r="M4" s="3">
        <f>SUM(I4:I181)*2</f>
        <v>912.89621953226822</v>
      </c>
    </row>
    <row r="5" spans="1:13" x14ac:dyDescent="1.1000000000000001">
      <c r="A5">
        <v>100</v>
      </c>
      <c r="B5">
        <v>860</v>
      </c>
      <c r="C5" s="19">
        <f>4*$M$3*10^3*100*0.001*SQRT(1-4*A5^2/(BASE限界!$L$13*BASE限界!$L$13*4))/(PI()*BASE限界!$L$13*2)</f>
        <v>5.2562723143832324</v>
      </c>
      <c r="D5" s="16">
        <v>0.82436492578913823</v>
      </c>
      <c r="E5">
        <v>1.3511279432652781</v>
      </c>
      <c r="F5">
        <v>1.178152417810607E-2</v>
      </c>
      <c r="G5">
        <v>-0.1932680141836805</v>
      </c>
      <c r="H5">
        <v>0.38646547388683711</v>
      </c>
      <c r="I5" s="19">
        <f>1/2*BASE限界!$F$4*(BASE限界!$F$5^2)*(B5+B4)/2000*E5*0.1</f>
        <v>5.5746269851670824</v>
      </c>
      <c r="J5" s="19">
        <f>1/2*BASE限界!$F$4*(BASE限界!$F$5^2)*(B5+B4)/2000*F5*0.1</f>
        <v>4.8609462143862643E-2</v>
      </c>
      <c r="L5" s="2" t="s">
        <v>79</v>
      </c>
      <c r="M5" s="3">
        <f>SUM(J4:J181)*2</f>
        <v>7.6906863100853577</v>
      </c>
    </row>
    <row r="6" spans="1:13" x14ac:dyDescent="1.1000000000000001">
      <c r="A6">
        <v>200</v>
      </c>
      <c r="B6">
        <v>860</v>
      </c>
      <c r="C6" s="19">
        <f>4*$M$3*10^3*100*0.001*SQRT(1-4*A6^2/(BASE限界!$L$13*BASE限界!$L$13*4))/(PI()*BASE限界!$L$13*2)</f>
        <v>5.2556086017327699</v>
      </c>
      <c r="D6" s="16">
        <v>0.82556931537604028</v>
      </c>
      <c r="E6">
        <v>1.351074950123454</v>
      </c>
      <c r="F6">
        <v>1.1778633643097501E-2</v>
      </c>
      <c r="G6">
        <v>-0.19328126246913641</v>
      </c>
      <c r="H6">
        <v>0.38648353973064059</v>
      </c>
      <c r="I6" s="19">
        <f>1/2*BASE限界!$F$4*(BASE限界!$F$5^2)*(B6+B5)/2000*E6*0.1</f>
        <v>5.5744083404414564</v>
      </c>
      <c r="J6" s="19">
        <f>1/2*BASE限界!$F$4*(BASE限界!$F$5^2)*(B6+B5)/2000*F6*0.1</f>
        <v>4.8597536067919465E-2</v>
      </c>
      <c r="L6" s="2" t="s">
        <v>80</v>
      </c>
      <c r="M6" s="3">
        <f>$M$4/BASE限界!$Q$13/BASE限界!$F$4/BASE限界!$F$5^2</f>
        <v>1.2431937382254388</v>
      </c>
    </row>
    <row r="7" spans="1:13" x14ac:dyDescent="1.1000000000000001">
      <c r="A7">
        <v>300</v>
      </c>
      <c r="B7">
        <v>860</v>
      </c>
      <c r="C7" s="19">
        <f>4*$M$3*10^3*100*0.001*SQRT(1-4*A7^2/(BASE限界!$L$13*BASE限界!$L$13*4))/(PI()*BASE限界!$L$13*2)</f>
        <v>5.2545022276806117</v>
      </c>
      <c r="D7" s="16">
        <v>0.82759706039831649</v>
      </c>
      <c r="E7">
        <v>1.3509857293424741</v>
      </c>
      <c r="F7">
        <v>1.177376705504404E-2</v>
      </c>
      <c r="G7">
        <v>-0.1933035676643815</v>
      </c>
      <c r="H7">
        <v>0.38651395590597482</v>
      </c>
      <c r="I7" s="19">
        <f>1/2*BASE限界!$F$4*(BASE限界!$F$5^2)*(B7+B6)/2000*E7*0.1</f>
        <v>5.5740402238794626</v>
      </c>
      <c r="J7" s="19">
        <f>1/2*BASE限界!$F$4*(BASE限界!$F$5^2)*(B7+B6)/2000*F7*0.1</f>
        <v>4.8577456982719765E-2</v>
      </c>
      <c r="L7" s="2" t="s">
        <v>36</v>
      </c>
      <c r="M7" s="3">
        <f>BASE限界!$N$8</f>
        <v>31.049261727427151</v>
      </c>
    </row>
    <row r="8" spans="1:13" x14ac:dyDescent="1.1000000000000001">
      <c r="A8">
        <v>400</v>
      </c>
      <c r="B8">
        <v>860</v>
      </c>
      <c r="C8" s="19">
        <f>4*$M$3*10^3*100*0.001*SQRT(1-4*A8^2/(BASE限界!$L$13*BASE限界!$L$13*4))/(PI()*BASE限界!$L$13*2)</f>
        <v>5.252952912527463</v>
      </c>
      <c r="D8" s="16">
        <v>0.83018518067436753</v>
      </c>
      <c r="E8">
        <v>1.350871852050328</v>
      </c>
      <c r="F8">
        <v>1.1767555566381521E-2</v>
      </c>
      <c r="G8">
        <v>-0.19333203698741799</v>
      </c>
      <c r="H8">
        <v>0.38655277771011548</v>
      </c>
      <c r="I8" s="19">
        <f>1/2*BASE限界!$F$4*(BASE限界!$F$5^2)*(B8+B7)/2000*E8*0.1</f>
        <v>5.5735703768683349</v>
      </c>
      <c r="J8" s="19">
        <f>1/2*BASE限界!$F$4*(BASE限界!$F$5^2)*(B8+B7)/2000*F8*0.1</f>
        <v>4.8551828963930919E-2</v>
      </c>
      <c r="L8" s="2" t="s">
        <v>81</v>
      </c>
      <c r="M8" s="3">
        <f>$M$6^2/(BASE限界!$N$8*BASE限界!$N$7*PI())*BASE限界!$F$4*BASE限界!$F$5^2*BASE限界!$Q$13</f>
        <v>11.897524631986766</v>
      </c>
    </row>
    <row r="9" spans="1:13" x14ac:dyDescent="1.1000000000000001">
      <c r="A9">
        <v>500</v>
      </c>
      <c r="B9">
        <v>860</v>
      </c>
      <c r="C9" s="19">
        <f>4*$M$3*10^3*100*0.001*SQRT(1-4*A9^2/(BASE限界!$L$13*BASE限界!$L$13*4))/(PI()*BASE限界!$L$13*2)</f>
        <v>5.250960264199132</v>
      </c>
      <c r="D9" s="16">
        <v>0.83396307807647219</v>
      </c>
      <c r="E9">
        <v>1.3507056245646349</v>
      </c>
      <c r="F9">
        <v>1.1758488612616471E-2</v>
      </c>
      <c r="G9">
        <v>-0.1933735938588412</v>
      </c>
      <c r="H9">
        <v>0.38660944617114712</v>
      </c>
      <c r="I9" s="19">
        <f>1/2*BASE限界!$F$4*(BASE限界!$F$5^2)*(B9+B8)/2000*E9*0.1</f>
        <v>5.5728845378757796</v>
      </c>
      <c r="J9" s="19">
        <f>1/2*BASE限界!$F$4*(BASE限界!$F$5^2)*(B9+B8)/2000*F9*0.1</f>
        <v>4.8514419564337156E-2</v>
      </c>
      <c r="L9" s="2" t="s">
        <v>82</v>
      </c>
      <c r="M9" s="3">
        <f>$M$8+$M$5</f>
        <v>19.588210942072124</v>
      </c>
    </row>
    <row r="10" spans="1:13" x14ac:dyDescent="1.1000000000000001">
      <c r="A10">
        <v>600</v>
      </c>
      <c r="B10">
        <v>860</v>
      </c>
      <c r="C10" s="19">
        <f>4*$M$3*10^3*100*0.001*SQRT(1-4*A10^2/(BASE限界!$L$13*BASE限界!$L$13*4))/(PI()*BASE限界!$L$13*2)</f>
        <v>5.2485237777495968</v>
      </c>
      <c r="D10" s="16">
        <v>0.83854767560119825</v>
      </c>
      <c r="E10">
        <v>1.350503902273547</v>
      </c>
      <c r="F10">
        <v>1.1747485578557121E-2</v>
      </c>
      <c r="G10">
        <v>-0.19342402443161319</v>
      </c>
      <c r="H10">
        <v>0.38667821513401801</v>
      </c>
      <c r="I10" s="19">
        <f>1/2*BASE限界!$F$4*(BASE限界!$F$5^2)*(B10+B9)/2000*E10*0.1</f>
        <v>5.5720522506501231</v>
      </c>
      <c r="J10" s="19">
        <f>1/2*BASE限界!$F$4*(BASE限界!$F$5^2)*(B10+B9)/2000*F10*0.1</f>
        <v>4.846902207930126E-2</v>
      </c>
      <c r="L10" s="2" t="s">
        <v>83</v>
      </c>
      <c r="M10" s="3">
        <f>$M$9+BASE限界!$I$4+BASE限界!$I$5+BASE限界!$I$6</f>
        <v>25.588210942072124</v>
      </c>
    </row>
    <row r="11" spans="1:13" x14ac:dyDescent="1.1000000000000001">
      <c r="A11">
        <v>700</v>
      </c>
      <c r="B11">
        <v>860</v>
      </c>
      <c r="C11" s="19">
        <f>4*$M$3*10^3*100*0.001*SQRT(1-4*A11^2/(BASE限界!$L$13*BASE限界!$L$13*4))/(PI()*BASE限界!$L$13*2)</f>
        <v>5.2456428347195718</v>
      </c>
      <c r="D11" s="16">
        <v>0.84378134902107926</v>
      </c>
      <c r="E11">
        <v>1.350273620643073</v>
      </c>
      <c r="F11">
        <v>1.173492476234941E-2</v>
      </c>
      <c r="G11">
        <v>-0.19348159483923191</v>
      </c>
      <c r="H11">
        <v>0.38675672023531621</v>
      </c>
      <c r="I11" s="19">
        <f>1/2*BASE限界!$F$4*(BASE限界!$F$5^2)*(B11+B10)/2000*E11*0.1</f>
        <v>5.5711021302726795</v>
      </c>
      <c r="J11" s="19">
        <f>1/2*BASE限界!$F$4*(BASE限界!$F$5^2)*(B11+B10)/2000*F11*0.1</f>
        <v>4.8417197331440592E-2</v>
      </c>
      <c r="L11" s="2" t="s">
        <v>84</v>
      </c>
      <c r="M11" s="3">
        <f>$M$10*BASE限界!$F$5/BASE限界!$I$7/BASE限界!$I$8</f>
        <v>301.03777578908381</v>
      </c>
    </row>
    <row r="12" spans="1:13" x14ac:dyDescent="1.1000000000000001">
      <c r="A12">
        <v>800</v>
      </c>
      <c r="B12">
        <v>860</v>
      </c>
      <c r="C12" s="19">
        <f>4*$M$3*10^3*100*0.001*SQRT(1-4*A12^2/(BASE限界!$L$13*BASE限界!$L$13*4))/(PI()*BASE限界!$L$13*2)</f>
        <v>5.242316702348675</v>
      </c>
      <c r="D12" s="16">
        <v>0.85072440363086288</v>
      </c>
      <c r="E12">
        <v>1.3499681262402421</v>
      </c>
      <c r="F12">
        <v>1.1718261431285929E-2</v>
      </c>
      <c r="G12">
        <v>-0.1935579684399395</v>
      </c>
      <c r="H12">
        <v>0.38686086605446302</v>
      </c>
      <c r="I12" s="19">
        <f>1/2*BASE限界!$F$4*(BASE限界!$F$5^2)*(B12+B11)/2000*E12*0.1</f>
        <v>5.5698416890610778</v>
      </c>
      <c r="J12" s="19">
        <f>1/2*BASE限界!$F$4*(BASE限界!$F$5^2)*(B12+B11)/2000*F12*0.1</f>
        <v>4.8348445992626027E-2</v>
      </c>
    </row>
    <row r="13" spans="1:13" x14ac:dyDescent="1.1000000000000001">
      <c r="A13">
        <v>900</v>
      </c>
      <c r="B13">
        <v>860</v>
      </c>
      <c r="C13" s="19">
        <f>4*$M$3*10^3*100*0.001*SQRT(1-4*A13^2/(BASE限界!$L$13*BASE限界!$L$13*4))/(PI()*BASE限界!$L$13*2)</f>
        <v>5.2385445326388327</v>
      </c>
      <c r="D13" s="16">
        <v>0.85856573618558751</v>
      </c>
      <c r="E13">
        <v>1.349623107607834</v>
      </c>
      <c r="F13">
        <v>1.169944223315459E-2</v>
      </c>
      <c r="G13">
        <v>-0.1936442230980415</v>
      </c>
      <c r="H13">
        <v>0.38697848604278379</v>
      </c>
      <c r="I13" s="19">
        <f>1/2*BASE限界!$F$4*(BASE限界!$F$5^2)*(B13+B12)/2000*E13*0.1</f>
        <v>5.568418174590672</v>
      </c>
      <c r="J13" s="19">
        <f>1/2*BASE限界!$F$4*(BASE限界!$F$5^2)*(B13+B12)/2000*F13*0.1</f>
        <v>4.8270799748785766E-2</v>
      </c>
    </row>
    <row r="14" spans="1:13" x14ac:dyDescent="1.1000000000000001">
      <c r="A14">
        <v>1000</v>
      </c>
      <c r="B14">
        <v>860</v>
      </c>
      <c r="C14" s="19">
        <f>4*$M$3*10^3*100*0.001*SQRT(1-4*A14^2/(BASE限界!$L$13*BASE限界!$L$13*4))/(PI()*BASE限界!$L$13*2)</f>
        <v>5.2343253612661229</v>
      </c>
      <c r="D14" s="16">
        <v>0.86751406095603389</v>
      </c>
      <c r="E14">
        <v>1.349229381317935</v>
      </c>
      <c r="F14">
        <v>1.167796625370552E-2</v>
      </c>
      <c r="G14">
        <v>-0.19374265467051641</v>
      </c>
      <c r="H14">
        <v>0.38711271091434052</v>
      </c>
      <c r="I14" s="19">
        <f>1/2*BASE限界!$F$4*(BASE限界!$F$5^2)*(B14+B13)/2000*E14*0.1</f>
        <v>5.5667936969004721</v>
      </c>
      <c r="J14" s="19">
        <f>1/2*BASE限界!$F$4*(BASE限界!$F$5^2)*(B14+B13)/2000*F14*0.1</f>
        <v>4.8182191874774703E-2</v>
      </c>
    </row>
    <row r="15" spans="1:13" x14ac:dyDescent="1.1000000000000001">
      <c r="A15">
        <v>1100</v>
      </c>
      <c r="B15">
        <v>860</v>
      </c>
      <c r="C15" s="19">
        <f>4*$M$3*10^3*100*0.001*SQRT(1-4*A15^2/(BASE限界!$L$13*BASE限界!$L$13*4))/(PI()*BASE限界!$L$13*2)</f>
        <v>5.2296581063377818</v>
      </c>
      <c r="D15" s="16">
        <v>0.8788378731775901</v>
      </c>
      <c r="E15">
        <v>1.3487311335801859</v>
      </c>
      <c r="F15">
        <v>1.165078910437378E-2</v>
      </c>
      <c r="G15">
        <v>-0.19386721660495351</v>
      </c>
      <c r="H15">
        <v>0.38728256809766393</v>
      </c>
      <c r="I15" s="19">
        <f>1/2*BASE限界!$F$4*(BASE限界!$F$5^2)*(B15+B14)/2000*E15*0.1</f>
        <v>5.5647379735339326</v>
      </c>
      <c r="J15" s="19">
        <f>1/2*BASE限界!$F$4*(BASE限界!$F$5^2)*(B15+B14)/2000*F15*0.1</f>
        <v>4.8070061509327223E-2</v>
      </c>
    </row>
    <row r="16" spans="1:13" ht="18" customHeight="1" x14ac:dyDescent="1.1000000000000001">
      <c r="A16">
        <v>1200</v>
      </c>
      <c r="B16">
        <v>860</v>
      </c>
      <c r="C16" s="19">
        <f>4*$M$3*10^3*100*0.001*SQRT(1-4*A16^2/(BASE限界!$L$13*BASE限界!$L$13*4))/(PI()*BASE限界!$L$13*2)</f>
        <v>5.2245415669905837</v>
      </c>
      <c r="D16" s="16">
        <v>0.89165621850707177</v>
      </c>
      <c r="E16">
        <v>1.3481671263856889</v>
      </c>
      <c r="F16">
        <v>1.162002507558303E-2</v>
      </c>
      <c r="G16">
        <v>-0.19400821840357779</v>
      </c>
      <c r="H16" s="15">
        <v>0.38747484327760612</v>
      </c>
      <c r="I16" s="19">
        <f>1/2*BASE限界!$F$4*(BASE限界!$F$5^2)*(B16+B15)/2000*E16*0.1</f>
        <v>5.5624109328255056</v>
      </c>
      <c r="J16" s="19">
        <f>1/2*BASE限界!$F$4*(BASE限界!$F$5^2)*(B16+B15)/2000*F16*0.1</f>
        <v>4.7943132016140283E-2</v>
      </c>
    </row>
    <row r="17" spans="1:10" x14ac:dyDescent="1.1000000000000001">
      <c r="A17">
        <v>1300</v>
      </c>
      <c r="B17">
        <v>860</v>
      </c>
      <c r="C17" s="19">
        <f>4*$M$3*10^3*100*0.001*SQRT(1-4*A17^2/(BASE限界!$L$13*BASE限界!$L$13*4))/(PI()*BASE限界!$L$13*2)</f>
        <v>5.2189744218263421</v>
      </c>
      <c r="D17" s="16">
        <v>0.90676017420169197</v>
      </c>
      <c r="E17">
        <v>1.347529593031932</v>
      </c>
      <c r="F17">
        <v>1.1584451599336109E-2</v>
      </c>
      <c r="G17">
        <v>-0.194187882264622</v>
      </c>
      <c r="H17">
        <v>0.38770140261302538</v>
      </c>
      <c r="I17" s="19">
        <f>1/2*BASE限界!$F$4*(BASE限界!$F$5^2)*(B17+B16)/2000*E17*0.1</f>
        <v>5.5597805300901371</v>
      </c>
      <c r="J17" s="19">
        <f>1/2*BASE限界!$F$4*(BASE限界!$F$5^2)*(B17+B16)/2000*F17*0.1</f>
        <v>4.7796359194490969E-2</v>
      </c>
    </row>
    <row r="18" spans="1:10" x14ac:dyDescent="1.1000000000000001">
      <c r="A18">
        <v>1400</v>
      </c>
      <c r="B18">
        <v>860</v>
      </c>
      <c r="C18" s="19">
        <f>4*$M$3*10^3*100*0.001*SQRT(1-4*A18^2/(BASE限界!$L$13*BASE限界!$L$13*4))/(PI()*BASE限界!$L$13*2)</f>
        <v>5.2129552271796831</v>
      </c>
      <c r="D18" s="16">
        <v>0.92680118668265299</v>
      </c>
      <c r="E18">
        <v>1.3467279525326941</v>
      </c>
      <c r="F18">
        <v>1.15383572706299E-2</v>
      </c>
      <c r="G18">
        <v>-0.19444841542687449</v>
      </c>
      <c r="H18">
        <v>0.3880020178002398</v>
      </c>
      <c r="I18" s="19">
        <f>1/2*BASE限界!$F$4*(BASE限界!$F$5^2)*(B18+B17)/2000*E18*0.1</f>
        <v>5.5564730366867705</v>
      </c>
      <c r="J18" s="19">
        <f>1/2*BASE限界!$F$4*(BASE限界!$F$5^2)*(B18+B17)/2000*F18*0.1</f>
        <v>4.7606178323797252E-2</v>
      </c>
    </row>
    <row r="19" spans="1:10" x14ac:dyDescent="1.1000000000000001">
      <c r="A19">
        <v>1500</v>
      </c>
      <c r="B19">
        <v>860</v>
      </c>
      <c r="C19" s="19">
        <f>4*$M$3*10^3*100*0.001*SQRT(1-4*A19^2/(BASE限界!$L$13*BASE限界!$L$13*4))/(PI()*BASE限界!$L$13*2)</f>
        <v>5.2064824152127489</v>
      </c>
      <c r="D19" s="16">
        <v>0.93890317989497007</v>
      </c>
      <c r="E19">
        <v>1.346243872804201</v>
      </c>
      <c r="F19">
        <v>1.1510522686241569E-2</v>
      </c>
      <c r="G19">
        <v>-0.19460574133863459</v>
      </c>
      <c r="H19">
        <v>0.38818354769842461</v>
      </c>
      <c r="I19" s="19">
        <f>1/2*BASE限界!$F$4*(BASE限界!$F$5^2)*(B19+B18)/2000*E19*0.1</f>
        <v>5.5544757691956486</v>
      </c>
      <c r="J19" s="19">
        <f>1/2*BASE限界!$F$4*(BASE限界!$F$5^2)*(B19+B18)/2000*F19*0.1</f>
        <v>4.7491335443057843E-2</v>
      </c>
    </row>
    <row r="20" spans="1:10" x14ac:dyDescent="1.1000000000000001">
      <c r="A20">
        <v>1600</v>
      </c>
      <c r="B20">
        <v>857.03703703703707</v>
      </c>
      <c r="C20" s="19">
        <f>4*$M$3*10^3*100*0.001*SQRT(1-4*A20^2/(BASE限界!$L$13*BASE限界!$L$13*4))/(PI()*BASE限界!$L$13*2)</f>
        <v>5.199554291830828</v>
      </c>
      <c r="D20" s="16">
        <v>0.92472505230311985</v>
      </c>
      <c r="E20">
        <v>1.3468109979078751</v>
      </c>
      <c r="F20">
        <v>1.1543132379702821E-2</v>
      </c>
      <c r="G20">
        <v>-0.19442142567994061</v>
      </c>
      <c r="H20">
        <v>0.38797087578454681</v>
      </c>
      <c r="I20" s="19">
        <f>1/2*BASE限界!$F$4*(BASE限界!$F$5^2)*(B20+B19)/2000*E20*0.1</f>
        <v>5.5472432095496069</v>
      </c>
      <c r="J20" s="19">
        <f>1/2*BASE限界!$F$4*(BASE限界!$F$5^2)*(B20+B19)/2000*F20*0.1</f>
        <v>4.7543837115754412E-2</v>
      </c>
    </row>
    <row r="21" spans="1:10" x14ac:dyDescent="1.1000000000000001">
      <c r="A21">
        <v>1700</v>
      </c>
      <c r="B21">
        <v>854.07407407407402</v>
      </c>
      <c r="C21" s="19">
        <f>4*$M$3*10^3*100*0.001*SQRT(1-4*A21^2/(BASE限界!$L$13*BASE限界!$L$13*4))/(PI()*BASE限界!$L$13*2)</f>
        <v>5.192169034412343</v>
      </c>
      <c r="D21" s="16">
        <v>0.90917988907668534</v>
      </c>
      <c r="E21">
        <v>1.347432804436933</v>
      </c>
      <c r="F21">
        <v>1.157888625512362E-2</v>
      </c>
      <c r="G21">
        <v>-0.19421933855799689</v>
      </c>
      <c r="H21">
        <v>0.38773769833615029</v>
      </c>
      <c r="I21" s="19">
        <f>1/2*BASE限界!$F$4*(BASE限界!$F$5^2)*(B21+B20)/2000*E21*0.1</f>
        <v>5.5306505372965313</v>
      </c>
      <c r="J21" s="19">
        <f>1/2*BASE限界!$F$4*(BASE限界!$F$5^2)*(B21+B20)/2000*F21*0.1</f>
        <v>4.7526506165890381E-2</v>
      </c>
    </row>
    <row r="22" spans="1:10" x14ac:dyDescent="1.1000000000000001">
      <c r="A22">
        <v>1800</v>
      </c>
      <c r="B22">
        <v>851.11111111111109</v>
      </c>
      <c r="C22" s="19">
        <f>4*$M$3*10^3*100*0.001*SQRT(1-4*A22^2/(BASE限界!$L$13*BASE限界!$L$13*4))/(PI()*BASE限界!$L$13*2)</f>
        <v>5.1843246893459174</v>
      </c>
      <c r="D22" s="16">
        <v>0.89384735158664108</v>
      </c>
      <c r="E22">
        <v>1.348070716530188</v>
      </c>
      <c r="F22">
        <v>1.1614766356192061E-2</v>
      </c>
      <c r="G22">
        <v>-0.19403232086745301</v>
      </c>
      <c r="H22">
        <v>0.3875077102737996</v>
      </c>
      <c r="I22" s="19">
        <f>1/2*BASE限界!$F$4*(BASE限界!$F$5^2)*(B22+B21)/2000*E22*0.1</f>
        <v>5.514106064767188</v>
      </c>
      <c r="J22" s="19">
        <f>1/2*BASE限界!$F$4*(BASE限界!$F$5^2)*(B22+B21)/2000*F22*0.1</f>
        <v>4.7508675042195636E-2</v>
      </c>
    </row>
    <row r="23" spans="1:10" x14ac:dyDescent="1.1000000000000001">
      <c r="A23">
        <v>1900</v>
      </c>
      <c r="B23">
        <v>848.14814814814815</v>
      </c>
      <c r="C23" s="19">
        <f>4*$M$3*10^3*100*0.001*SQRT(1-4*A23^2/(BASE限界!$L$13*BASE限界!$L$13*4))/(PI()*BASE限界!$L$13*2)</f>
        <v>5.17601916936656</v>
      </c>
      <c r="D23" s="16">
        <v>0.88192300430183124</v>
      </c>
      <c r="E23">
        <v>1.34859538781072</v>
      </c>
      <c r="F23">
        <v>1.1643384789675601E-2</v>
      </c>
      <c r="G23">
        <v>-0.19390115304732011</v>
      </c>
      <c r="H23">
        <v>0.38732884506452753</v>
      </c>
      <c r="I23" s="19">
        <f>1/2*BASE限界!$F$4*(BASE限界!$F$5^2)*(B23+B22)/2000*E23*0.1</f>
        <v>5.4970818694467214</v>
      </c>
      <c r="J23" s="19">
        <f>1/2*BASE限界!$F$4*(BASE限界!$F$5^2)*(B23+B22)/2000*F23*0.1</f>
        <v>4.7460224174591899E-2</v>
      </c>
    </row>
    <row r="24" spans="1:10" x14ac:dyDescent="1.1000000000000001">
      <c r="A24">
        <v>2000</v>
      </c>
      <c r="B24">
        <v>845.18518518518522</v>
      </c>
      <c r="C24" s="19">
        <f>4*$M$3*10^3*100*0.001*SQRT(1-4*A24^2/(BASE限界!$L$13*BASE限界!$L$13*4))/(PI()*BASE限界!$L$13*2)</f>
        <v>5.1672502506822484</v>
      </c>
      <c r="D24" s="16">
        <v>0.87197033501624932</v>
      </c>
      <c r="E24">
        <v>1.3490333052592851</v>
      </c>
      <c r="F24">
        <v>1.1667271195961001E-2</v>
      </c>
      <c r="G24">
        <v>-0.19379167368517869</v>
      </c>
      <c r="H24">
        <v>0.38717955502524382</v>
      </c>
      <c r="I24" s="19">
        <f>1/2*BASE限界!$F$4*(BASE限界!$F$5^2)*(B24+B23)/2000*E24*0.1</f>
        <v>5.4796903689801439</v>
      </c>
      <c r="J24" s="19">
        <f>1/2*BASE限界!$F$4*(BASE限界!$F$5^2)*(B24+B23)/2000*F24*0.1</f>
        <v>4.7391738480836811E-2</v>
      </c>
    </row>
    <row r="25" spans="1:10" x14ac:dyDescent="1.1000000000000001">
      <c r="A25">
        <v>2100</v>
      </c>
      <c r="B25">
        <v>842.22222222222217</v>
      </c>
      <c r="C25" s="19">
        <f>4*$M$3*10^3*100*0.001*SQRT(1-4*A25^2/(BASE限界!$L$13*BASE限界!$L$13*4))/(PI()*BASE限界!$L$13*2)</f>
        <v>5.1580155698813703</v>
      </c>
      <c r="D25" s="16">
        <v>0.86336823121626605</v>
      </c>
      <c r="E25">
        <v>1.3494117978264839</v>
      </c>
      <c r="F25">
        <v>1.168791624508096E-2</v>
      </c>
      <c r="G25">
        <v>-0.19369705054337891</v>
      </c>
      <c r="H25">
        <v>0.38705052346824398</v>
      </c>
      <c r="I25" s="19">
        <f>1/2*BASE限界!$F$4*(BASE限界!$F$5^2)*(B25+B24)/2000*E25*0.1</f>
        <v>5.4620458830230385</v>
      </c>
      <c r="J25" s="19">
        <f>1/2*BASE限界!$F$4*(BASE限界!$F$5^2)*(B25+B24)/2000*F25*0.1</f>
        <v>4.7309453578507625E-2</v>
      </c>
    </row>
    <row r="26" spans="1:10" x14ac:dyDescent="1.1000000000000001">
      <c r="A26">
        <v>2200</v>
      </c>
      <c r="B26">
        <v>839.25925925925924</v>
      </c>
      <c r="C26" s="19">
        <f>4*$M$3*10^3*100*0.001*SQRT(1-4*A26^2/(BASE限界!$L$13*BASE限界!$L$13*4))/(PI()*BASE限界!$L$13*2)</f>
        <v>5.1483126206106338</v>
      </c>
      <c r="D26" s="16">
        <v>0.85683080818877044</v>
      </c>
      <c r="E26">
        <v>1.3496994444396939</v>
      </c>
      <c r="F26">
        <v>1.170360606034695E-2</v>
      </c>
      <c r="G26">
        <v>-0.19362513889007649</v>
      </c>
      <c r="H26">
        <v>0.38695246212283158</v>
      </c>
      <c r="I26" s="19">
        <f>1/2*BASE限界!$F$4*(BASE限界!$F$5^2)*(B26+B25)/2000*E26*0.1</f>
        <v>5.4440242085867725</v>
      </c>
      <c r="J26" s="19">
        <f>1/2*BASE限界!$F$4*(BASE限界!$F$5^2)*(B26+B25)/2000*F26*0.1</f>
        <v>4.720659475913306E-2</v>
      </c>
    </row>
    <row r="27" spans="1:10" x14ac:dyDescent="1.1000000000000001">
      <c r="A27">
        <v>2300</v>
      </c>
      <c r="B27">
        <v>836.2962962962963</v>
      </c>
      <c r="C27" s="19">
        <f>4*$M$3*10^3*100*0.001*SQRT(1-4*A27^2/(BASE限界!$L$13*BASE限界!$L$13*4))/(PI()*BASE限界!$L$13*2)</f>
        <v>5.1381387500121116</v>
      </c>
      <c r="D27" s="16">
        <v>0.85156056986550732</v>
      </c>
      <c r="E27">
        <v>1.3499313349259181</v>
      </c>
      <c r="F27">
        <v>1.171625463232278E-2</v>
      </c>
      <c r="G27">
        <v>-0.19356716626852061</v>
      </c>
      <c r="H27">
        <v>0.38687340854798258</v>
      </c>
      <c r="I27" s="19">
        <f>1/2*BASE限界!$F$4*(BASE限界!$F$5^2)*(B27+B26)/2000*E27*0.1</f>
        <v>5.4257702561132426</v>
      </c>
      <c r="J27" s="19">
        <f>1/2*BASE限界!$F$4*(BASE限界!$F$5^2)*(B27+B26)/2000*F27*0.1</f>
        <v>4.7091066228634904E-2</v>
      </c>
    </row>
    <row r="28" spans="1:10" x14ac:dyDescent="1.1000000000000001">
      <c r="A28">
        <v>2400</v>
      </c>
      <c r="B28">
        <v>833.33333333333337</v>
      </c>
      <c r="C28" s="19">
        <f>4*$M$3*10^3*100*0.001*SQRT(1-4*A28^2/(BASE限界!$L$13*BASE限界!$L$13*4))/(PI()*BASE限界!$L$13*2)</f>
        <v>5.1274911549071005</v>
      </c>
      <c r="D28" s="16">
        <v>0.84729747917896925</v>
      </c>
      <c r="E28">
        <v>1.350118910916126</v>
      </c>
      <c r="F28">
        <v>1.172648604997048E-2</v>
      </c>
      <c r="G28">
        <v>-0.19352027227096871</v>
      </c>
      <c r="H28">
        <v>0.38680946218768453</v>
      </c>
      <c r="I28" s="19">
        <f>1/2*BASE限界!$F$4*(BASE限界!$F$5^2)*(B28+B27)/2000*E28*0.1</f>
        <v>5.4073322279540683</v>
      </c>
      <c r="J28" s="19">
        <f>1/2*BASE限界!$F$4*(BASE限界!$F$5^2)*(B28+B27)/2000*F28*0.1</f>
        <v>4.6965497206192641E-2</v>
      </c>
    </row>
    <row r="29" spans="1:10" x14ac:dyDescent="1.1000000000000001">
      <c r="A29">
        <v>2500</v>
      </c>
      <c r="B29">
        <v>830.37037037037032</v>
      </c>
      <c r="C29" s="19">
        <f>4*$M$3*10^3*100*0.001*SQRT(1-4*A29^2/(BASE限界!$L$13*BASE限界!$L$13*4))/(PI()*BASE限界!$L$13*2)</f>
        <v>5.1163668777133529</v>
      </c>
      <c r="D29" s="16">
        <v>0.84477176651365893</v>
      </c>
      <c r="E29">
        <v>1.350230042273399</v>
      </c>
      <c r="F29">
        <v>1.173254776036722E-2</v>
      </c>
      <c r="G29">
        <v>-0.19349248943165021</v>
      </c>
      <c r="H29">
        <v>0.38677157649770488</v>
      </c>
      <c r="I29" s="19">
        <f>1/2*BASE限界!$F$4*(BASE限界!$F$5^2)*(B29+B28)/2000*E29*0.1</f>
        <v>5.3885837869114459</v>
      </c>
      <c r="J29" s="19">
        <f>1/2*BASE限界!$F$4*(BASE限界!$F$5^2)*(B29+B28)/2000*F29*0.1</f>
        <v>4.6822996571926095E-2</v>
      </c>
    </row>
    <row r="30" spans="1:10" x14ac:dyDescent="1.1000000000000001">
      <c r="A30">
        <v>2600</v>
      </c>
      <c r="B30">
        <v>827.40740740740739</v>
      </c>
      <c r="C30" s="19">
        <f>4*$M$3*10^3*100*0.001*SQRT(1-4*A30^2/(BASE限界!$L$13*BASE限界!$L$13*4))/(PI()*BASE限界!$L$13*2)</f>
        <v>5.1047628020811331</v>
      </c>
      <c r="D30" s="16">
        <v>0.84334422627799754</v>
      </c>
      <c r="E30">
        <v>1.350292854043768</v>
      </c>
      <c r="F30">
        <v>1.173597385693281E-2</v>
      </c>
      <c r="G30">
        <v>-0.193476786489058</v>
      </c>
      <c r="H30">
        <v>0.38675016339417001</v>
      </c>
      <c r="I30" s="19">
        <f>1/2*BASE限界!$F$4*(BASE限界!$F$5^2)*(B30+B29)/2000*E30*0.1</f>
        <v>5.3696400363903551</v>
      </c>
      <c r="J30" s="19">
        <f>1/2*BASE限界!$F$4*(BASE限界!$F$5^2)*(B30+B29)/2000*F30*0.1</f>
        <v>4.6669842693379392E-2</v>
      </c>
    </row>
    <row r="31" spans="1:10" x14ac:dyDescent="1.1000000000000001">
      <c r="A31">
        <v>2700</v>
      </c>
      <c r="B31">
        <v>824.44444444444446</v>
      </c>
      <c r="C31" s="19">
        <f>4*$M$3*10^3*100*0.001*SQRT(1-4*A31^2/(BASE限界!$L$13*BASE限界!$L$13*4))/(PI()*BASE限界!$L$13*2)</f>
        <v>5.0926756482322117</v>
      </c>
      <c r="D31" s="16">
        <v>0.84288114237491119</v>
      </c>
      <c r="E31">
        <v>1.3503132297355041</v>
      </c>
      <c r="F31">
        <v>1.1737085258300211E-2</v>
      </c>
      <c r="G31">
        <v>-0.19347169256612401</v>
      </c>
      <c r="H31">
        <v>0.38674321713562371</v>
      </c>
      <c r="I31" s="19">
        <f>1/2*BASE限界!$F$4*(BASE限界!$F$5^2)*(B31+B30)/2000*E31*0.1</f>
        <v>5.3505263499908935</v>
      </c>
      <c r="J31" s="19">
        <f>1/2*BASE限界!$F$4*(BASE限界!$F$5^2)*(B31+B30)/2000*F31*0.1</f>
        <v>4.650741958510321E-2</v>
      </c>
    </row>
    <row r="32" spans="1:10" x14ac:dyDescent="1.1000000000000001">
      <c r="A32">
        <v>2800</v>
      </c>
      <c r="B32">
        <v>821.48148148148152</v>
      </c>
      <c r="C32" s="19">
        <f>4*$M$3*10^3*100*0.001*SQRT(1-4*A32^2/(BASE限界!$L$13*BASE限界!$L$13*4))/(PI()*BASE限界!$L$13*2)</f>
        <v>5.0801019679845751</v>
      </c>
      <c r="D32" s="16">
        <v>0.84421707325337281</v>
      </c>
      <c r="E32">
        <v>1.350254448776852</v>
      </c>
      <c r="F32">
        <v>1.173387902419191E-2</v>
      </c>
      <c r="G32">
        <v>-0.19348638780578711</v>
      </c>
      <c r="H32">
        <v>0.38676325609880058</v>
      </c>
      <c r="I32" s="19">
        <f>1/2*BASE限界!$F$4*(BASE限界!$F$5^2)*(B32+B31)/2000*E32*0.1</f>
        <v>5.3310995565609458</v>
      </c>
      <c r="J32" s="19">
        <f>1/2*BASE限界!$F$4*(BASE限界!$F$5^2)*(B32+B31)/2000*F32*0.1</f>
        <v>4.6327917911527842E-2</v>
      </c>
    </row>
    <row r="33" spans="1:10" x14ac:dyDescent="1.1000000000000001">
      <c r="A33">
        <v>2900</v>
      </c>
      <c r="B33">
        <v>818.51851851851848</v>
      </c>
      <c r="C33" s="19">
        <f>4*$M$3*10^3*100*0.001*SQRT(1-4*A33^2/(BASE限界!$L$13*BASE限界!$L$13*4))/(PI()*BASE限界!$L$13*2)</f>
        <v>5.0670381394441213</v>
      </c>
      <c r="D33" s="16">
        <v>0.84676702594685449</v>
      </c>
      <c r="E33">
        <v>1.3501422508583381</v>
      </c>
      <c r="F33">
        <v>1.1727759137727551E-2</v>
      </c>
      <c r="G33">
        <v>-0.1935144372854154</v>
      </c>
      <c r="H33">
        <v>0.38680150538920283</v>
      </c>
      <c r="I33" s="19">
        <f>1/2*BASE限界!$F$4*(BASE限界!$F$5^2)*(B33+B32)/2000*E33*0.1</f>
        <v>5.3114642917694601</v>
      </c>
      <c r="J33" s="19">
        <f>1/2*BASE限界!$F$4*(BASE限界!$F$5^2)*(B33+B32)/2000*F33*0.1</f>
        <v>4.6137045072777848E-2</v>
      </c>
    </row>
    <row r="34" spans="1:10" x14ac:dyDescent="1.1000000000000001">
      <c r="A34">
        <v>3000</v>
      </c>
      <c r="B34">
        <v>815.55555555555554</v>
      </c>
      <c r="C34" s="19">
        <f>4*$M$3*10^3*100*0.001*SQRT(1-4*A34^2/(BASE限界!$L$13*BASE限界!$L$13*4))/(PI()*BASE限界!$L$13*2)</f>
        <v>5.0534803613429755</v>
      </c>
      <c r="D34" s="16">
        <v>0.85044732484407959</v>
      </c>
      <c r="E34">
        <v>1.349980317706861</v>
      </c>
      <c r="F34">
        <v>1.171892642037421E-2</v>
      </c>
      <c r="G34">
        <v>-0.19355492057328491</v>
      </c>
      <c r="H34">
        <v>0.38685670987266119</v>
      </c>
      <c r="I34" s="19">
        <f>1/2*BASE限界!$F$4*(BASE限界!$F$5^2)*(B34+B33)/2000*E34*0.1</f>
        <v>5.2916372651745665</v>
      </c>
      <c r="J34" s="19">
        <f>1/2*BASE限界!$F$4*(BASE限界!$F$5^2)*(B34+B33)/2000*F34*0.1</f>
        <v>4.5935712499296233E-2</v>
      </c>
    </row>
    <row r="35" spans="1:10" x14ac:dyDescent="1.1000000000000001">
      <c r="A35">
        <v>3100</v>
      </c>
      <c r="B35">
        <v>812.59259259259261</v>
      </c>
      <c r="C35" s="19">
        <f>4*$M$3*10^3*100*0.001*SQRT(1-4*A35^2/(BASE限界!$L$13*BASE限界!$L$13*4))/(PI()*BASE限界!$L$13*2)</f>
        <v>5.0394246470022903</v>
      </c>
      <c r="D35" s="16">
        <v>0.85633477903496069</v>
      </c>
      <c r="E35">
        <v>1.3497212697224621</v>
      </c>
      <c r="F35">
        <v>1.170479653031609E-2</v>
      </c>
      <c r="G35">
        <v>-0.19361968256938461</v>
      </c>
      <c r="H35">
        <v>0.38694502168552442</v>
      </c>
      <c r="I35" s="19">
        <f>1/2*BASE限界!$F$4*(BASE限界!$F$5^2)*(B35+B34)/2000*E35*0.1</f>
        <v>5.271435553228895</v>
      </c>
      <c r="J35" s="19">
        <f>1/2*BASE限界!$F$4*(BASE限界!$F$5^2)*(B35+B34)/2000*F35*0.1</f>
        <v>4.5713942543045061E-2</v>
      </c>
    </row>
    <row r="36" spans="1:10" x14ac:dyDescent="1.1000000000000001">
      <c r="A36">
        <v>3200</v>
      </c>
      <c r="B36">
        <v>809.62962962962968</v>
      </c>
      <c r="C36" s="19">
        <f>4*$M$3*10^3*100*0.001*SQRT(1-4*A36^2/(BASE限界!$L$13*BASE限界!$L$13*4))/(PI()*BASE限界!$L$13*2)</f>
        <v>5.0248668178954139</v>
      </c>
      <c r="D36" s="16">
        <v>0.86390230860751238</v>
      </c>
      <c r="E36">
        <v>1.3493882984212699</v>
      </c>
      <c r="F36">
        <v>1.168663445934197E-2</v>
      </c>
      <c r="G36">
        <v>-0.19370292539468259</v>
      </c>
      <c r="H36">
        <v>0.38705853462911272</v>
      </c>
      <c r="I36" s="19">
        <f>1/2*BASE限界!$F$4*(BASE限界!$F$5^2)*(B36+B35)/2000*E36*0.1</f>
        <v>5.2509535438988477</v>
      </c>
      <c r="J36" s="19">
        <f>1/2*BASE限界!$F$4*(BASE限界!$F$5^2)*(B36+B35)/2000*F36*0.1</f>
        <v>4.5476883638555211E-2</v>
      </c>
    </row>
    <row r="37" spans="1:10" x14ac:dyDescent="1.1000000000000001">
      <c r="A37">
        <v>3300</v>
      </c>
      <c r="B37">
        <v>806.66666666666663</v>
      </c>
      <c r="C37" s="19">
        <f>4*$M$3*10^3*100*0.001*SQRT(1-4*A37^2/(BASE限界!$L$13*BASE限界!$L$13*4))/(PI()*BASE限界!$L$13*2)</f>
        <v>5.0098024967852597</v>
      </c>
      <c r="D37" s="16">
        <v>0.87306659121015529</v>
      </c>
      <c r="E37">
        <v>1.3489850699867529</v>
      </c>
      <c r="F37">
        <v>1.166464018109563E-2</v>
      </c>
      <c r="G37">
        <v>-0.1938037325033117</v>
      </c>
      <c r="H37">
        <v>0.38719599886815231</v>
      </c>
      <c r="I37" s="19">
        <f>1/2*BASE限界!$F$4*(BASE限界!$F$5^2)*(B37+B36)/2000*E37*0.1</f>
        <v>5.2302086039651989</v>
      </c>
      <c r="J37" s="19">
        <f>1/2*BASE限界!$F$4*(BASE限界!$F$5^2)*(B37+B36)/2000*F37*0.1</f>
        <v>4.5225483064778214E-2</v>
      </c>
    </row>
    <row r="38" spans="1:10" x14ac:dyDescent="1.1000000000000001">
      <c r="A38">
        <v>3400</v>
      </c>
      <c r="B38">
        <v>803.7037037037037</v>
      </c>
      <c r="C38" s="19">
        <f>4*$M$3*10^3*100*0.001*SQRT(1-4*A38^2/(BASE限界!$L$13*BASE限界!$L$13*4))/(PI()*BASE限界!$L$13*2)</f>
        <v>4.9942271004072767</v>
      </c>
      <c r="D38" s="16">
        <v>0.88539300400939791</v>
      </c>
      <c r="E38">
        <v>1.348442707823587</v>
      </c>
      <c r="F38">
        <v>1.1635056790377451E-2</v>
      </c>
      <c r="G38">
        <v>-0.19393932304410341</v>
      </c>
      <c r="H38">
        <v>0.38738089506014101</v>
      </c>
      <c r="I38" s="19">
        <f>1/2*BASE限界!$F$4*(BASE限界!$F$5^2)*(B38+B37)/2000*E38*0.1</f>
        <v>5.2089376641872631</v>
      </c>
      <c r="J38" s="19">
        <f>1/2*BASE限界!$F$4*(BASE限界!$F$5^2)*(B38+B37)/2000*F38*0.1</f>
        <v>4.4945391590403283E-2</v>
      </c>
    </row>
    <row r="39" spans="1:10" x14ac:dyDescent="1.1000000000000001">
      <c r="A39">
        <v>3500</v>
      </c>
      <c r="B39">
        <v>800.74074074074076</v>
      </c>
      <c r="C39" s="19">
        <f>4*$M$3*10^3*100*0.001*SQRT(1-4*A39^2/(BASE限界!$L$13*BASE限界!$L$13*4))/(PI()*BASE限界!$L$13*2)</f>
        <v>4.9781358316669442</v>
      </c>
      <c r="D39" s="16">
        <v>0.9006484916414369</v>
      </c>
      <c r="E39">
        <v>1.3477740603343431</v>
      </c>
      <c r="F39">
        <v>1.1598508469224699E-2</v>
      </c>
      <c r="G39">
        <v>-0.19410843039133871</v>
      </c>
      <c r="H39">
        <v>0.38760972737462163</v>
      </c>
      <c r="I39" s="19">
        <f>1/2*BASE限界!$F$4*(BASE限界!$F$5^2)*(B39+B38)/2000*E39*0.1</f>
        <v>5.1871961077455806</v>
      </c>
      <c r="J39" s="19">
        <f>1/2*BASE限界!$F$4*(BASE限界!$F$5^2)*(B39+B38)/2000*F39*0.1</f>
        <v>4.4639335151094729E-2</v>
      </c>
    </row>
    <row r="40" spans="1:10" x14ac:dyDescent="1.1000000000000001">
      <c r="A40">
        <v>3600</v>
      </c>
      <c r="B40">
        <v>797.77777777777783</v>
      </c>
      <c r="C40" s="19">
        <f>4*$M$3*10^3*100*0.001*SQRT(1-4*A40^2/(BASE限界!$L$13*BASE限界!$L$13*4))/(PI()*BASE限界!$L$13*2)</f>
        <v>4.9615236713178561</v>
      </c>
      <c r="D40" s="16">
        <v>0.91867166701925207</v>
      </c>
      <c r="E40">
        <v>1.3470531333192299</v>
      </c>
      <c r="F40">
        <v>1.155705516585572E-2</v>
      </c>
      <c r="G40">
        <v>-0.1943427316712503</v>
      </c>
      <c r="H40">
        <v>0.38788007500528882</v>
      </c>
      <c r="I40" s="19">
        <f>1/2*BASE限界!$F$4*(BASE限界!$F$5^2)*(B40+B39)/2000*E40*0.1</f>
        <v>5.1652730952040002</v>
      </c>
      <c r="J40" s="19">
        <f>1/2*BASE限界!$F$4*(BASE限界!$F$5^2)*(B40+B39)/2000*F40*0.1</f>
        <v>4.4315509634641953E-2</v>
      </c>
    </row>
    <row r="41" spans="1:10" x14ac:dyDescent="1.1000000000000001">
      <c r="A41">
        <v>3700</v>
      </c>
      <c r="B41">
        <v>794.81481481481478</v>
      </c>
      <c r="C41" s="19">
        <f>4*$M$3*10^3*100*0.001*SQRT(1-4*A41^2/(BASE限界!$L$13*BASE限界!$L$13*4))/(PI()*BASE限界!$L$13*2)</f>
        <v>4.9443853690833723</v>
      </c>
      <c r="D41" s="16">
        <v>0.94207229787458402</v>
      </c>
      <c r="E41">
        <v>1.3461171080850169</v>
      </c>
      <c r="F41">
        <v>1.1503233714888461E-2</v>
      </c>
      <c r="G41">
        <v>-0.19464693987236961</v>
      </c>
      <c r="H41">
        <v>0.38823108446811883</v>
      </c>
      <c r="I41" s="19">
        <f>1/2*BASE限界!$F$4*(BASE限界!$F$5^2)*(B41+B40)/2000*E41*0.1</f>
        <v>5.1425488424731967</v>
      </c>
      <c r="J41" s="19">
        <f>1/2*BASE限界!$F$4*(BASE限界!$F$5^2)*(B41+B40)/2000*F41*0.1</f>
        <v>4.3945612807308722E-2</v>
      </c>
    </row>
    <row r="42" spans="1:10" x14ac:dyDescent="1.1000000000000001">
      <c r="A42">
        <v>3800</v>
      </c>
      <c r="B42">
        <v>791.85185185185185</v>
      </c>
      <c r="C42" s="19">
        <f>4*$M$3*10^3*100*0.001*SQRT(1-4*A42^2/(BASE限界!$L$13*BASE限界!$L$13*4))/(PI()*BASE限界!$L$13*2)</f>
        <v>4.9267154341813999</v>
      </c>
      <c r="D42" s="16">
        <v>0.97231293997215662</v>
      </c>
      <c r="E42">
        <v>1.344907482401114</v>
      </c>
      <c r="F42">
        <v>1.1433680238064041E-2</v>
      </c>
      <c r="G42">
        <v>-0.19504006821963801</v>
      </c>
      <c r="H42">
        <v>0.38868469409958228</v>
      </c>
      <c r="I42" s="19">
        <f>1/2*BASE限界!$F$4*(BASE限界!$F$5^2)*(B42+B41)/2000*E42*0.1</f>
        <v>5.1188098589311757</v>
      </c>
      <c r="J42" s="19">
        <f>1/2*BASE限界!$F$4*(BASE限界!$F$5^2)*(B42+B41)/2000*F42*0.1</f>
        <v>4.3517368958330582E-2</v>
      </c>
    </row>
    <row r="43" spans="1:10" x14ac:dyDescent="1.1000000000000001">
      <c r="A43">
        <v>3900</v>
      </c>
      <c r="B43">
        <v>788.88888888888891</v>
      </c>
      <c r="C43" s="19">
        <f>4*$M$3*10^3*100*0.001*SQRT(1-4*A43^2/(BASE限界!$L$13*BASE限界!$L$13*4))/(PI()*BASE限界!$L$13*2)</f>
        <v>4.9085081252081002</v>
      </c>
      <c r="D43" s="16">
        <v>1.009064183884983</v>
      </c>
      <c r="E43">
        <v>1.343337726621866</v>
      </c>
      <c r="F43">
        <v>1.135005879545304E-2</v>
      </c>
      <c r="G43">
        <v>-0.19549064183884979</v>
      </c>
      <c r="H43">
        <v>0.38924502694215968</v>
      </c>
      <c r="I43" s="19">
        <f>1/2*BASE限界!$F$4*(BASE限界!$F$5^2)*(B43+B42)/2000*E43*0.1</f>
        <v>5.0937397045459898</v>
      </c>
      <c r="J43" s="19">
        <f>1/2*BASE限界!$F$4*(BASE限界!$F$5^2)*(B43+B42)/2000*F43*0.1</f>
        <v>4.3037758852137578E-2</v>
      </c>
    </row>
    <row r="44" spans="1:10" x14ac:dyDescent="1.1000000000000001">
      <c r="A44">
        <v>4000</v>
      </c>
      <c r="B44">
        <v>785.92592592592587</v>
      </c>
      <c r="C44" s="19">
        <f>4*$M$3*10^3*100*0.001*SQRT(1-4*A44^2/(BASE限界!$L$13*BASE限界!$L$13*4))/(PI()*BASE限界!$L$13*2)</f>
        <v>4.8897574393321266</v>
      </c>
      <c r="D44" s="16">
        <v>1.057821672651577</v>
      </c>
      <c r="E44">
        <v>1.34085109469477</v>
      </c>
      <c r="F44">
        <v>1.124279232016653E-2</v>
      </c>
      <c r="G44">
        <v>-0.1959782167265158</v>
      </c>
      <c r="H44">
        <v>0.39002514676242522</v>
      </c>
      <c r="I44" s="19">
        <f>1/2*BASE限界!$F$4*(BASE限界!$F$5^2)*(B44+B43)/2000*E44*0.1</f>
        <v>5.0652505518205739</v>
      </c>
      <c r="J44" s="19">
        <f>1/2*BASE限界!$F$4*(BASE限界!$F$5^2)*(B44+B43)/2000*F44*0.1</f>
        <v>4.2471203722059168E-2</v>
      </c>
    </row>
    <row r="45" spans="1:10" x14ac:dyDescent="1.1000000000000001">
      <c r="A45">
        <v>4100</v>
      </c>
      <c r="B45">
        <v>782.96296296296293</v>
      </c>
      <c r="C45" s="19">
        <f>4*$M$3*10^3*100*0.001*SQRT(1-4*A45^2/(BASE限界!$L$13*BASE限界!$L$13*4))/(PI()*BASE限界!$L$13*2)</f>
        <v>4.8704571007463988</v>
      </c>
      <c r="D45" s="16">
        <v>1.1360846878850059</v>
      </c>
      <c r="E45">
        <v>1.3364627493511301</v>
      </c>
      <c r="F45">
        <v>1.1074222155441489E-2</v>
      </c>
      <c r="G45">
        <v>-0.19668867750308</v>
      </c>
      <c r="H45">
        <v>0.39120518563039008</v>
      </c>
      <c r="I45" s="19">
        <f>1/2*BASE限界!$F$4*(BASE限界!$F$5^2)*(B45+B44)/2000*E45*0.1</f>
        <v>5.0296751413695695</v>
      </c>
      <c r="J45" s="19">
        <f>1/2*BASE限界!$F$4*(BASE限界!$F$5^2)*(B45+B44)/2000*F45*0.1</f>
        <v>4.1676986442211822E-2</v>
      </c>
    </row>
    <row r="46" spans="1:10" x14ac:dyDescent="1.1000000000000001">
      <c r="A46">
        <v>4200</v>
      </c>
      <c r="B46">
        <v>780</v>
      </c>
      <c r="C46" s="19">
        <f>4*$M$3*10^3*100*0.001*SQRT(1-4*A46^2/(BASE限界!$L$13*BASE限界!$L$13*4))/(PI()*BASE限界!$L$13*2)</f>
        <v>4.8506005483192887</v>
      </c>
      <c r="D46" s="16">
        <v>1.057590896397387</v>
      </c>
      <c r="E46">
        <v>1.340862864283733</v>
      </c>
      <c r="F46">
        <v>1.124330002792575E-2</v>
      </c>
      <c r="G46">
        <v>-0.19597590896397379</v>
      </c>
      <c r="H46">
        <v>0.39002145434235819</v>
      </c>
      <c r="I46" s="19">
        <f>1/2*BASE限界!$F$4*(BASE限界!$F$5^2)*(B46+B45)/2000*E46*0.1</f>
        <v>5.0271742603861185</v>
      </c>
      <c r="J46" s="19">
        <f>1/2*BASE限界!$F$4*(BASE限界!$F$5^2)*(B46+B45)/2000*F46*0.1</f>
        <v>4.2153474458687466E-2</v>
      </c>
    </row>
    <row r="47" spans="1:10" x14ac:dyDescent="1.1000000000000001">
      <c r="A47">
        <v>4300</v>
      </c>
      <c r="B47">
        <v>775.55555555555554</v>
      </c>
      <c r="C47" s="19">
        <f>4*$M$3*10^3*100*0.001*SQRT(1-4*A47^2/(BASE限界!$L$13*BASE限界!$L$13*4))/(PI()*BASE限界!$L$13*2)</f>
        <v>4.8301809223813708</v>
      </c>
      <c r="D47" s="16">
        <v>0.56354427920327055</v>
      </c>
      <c r="E47">
        <v>1.295987459395735</v>
      </c>
      <c r="F47">
        <v>1.107876263097839E-2</v>
      </c>
      <c r="G47">
        <v>-0.17908669669389801</v>
      </c>
      <c r="H47">
        <v>0.38256236530126958</v>
      </c>
      <c r="I47" s="19">
        <f>1/2*BASE限界!$F$4*(BASE限界!$F$5^2)*(B47+B46)/2000*E47*0.1</f>
        <v>4.8358989270926394</v>
      </c>
      <c r="J47" s="19">
        <f>1/2*BASE限界!$F$4*(BASE限界!$F$5^2)*(B47+B46)/2000*F47*0.1</f>
        <v>4.1339733600232964E-2</v>
      </c>
    </row>
    <row r="48" spans="1:10" x14ac:dyDescent="1.1000000000000001">
      <c r="A48">
        <v>4400</v>
      </c>
      <c r="B48">
        <v>771.11111111111109</v>
      </c>
      <c r="C48" s="19">
        <f>4*$M$3*10^3*100*0.001*SQRT(1-4*A48^2/(BASE限界!$L$13*BASE限界!$L$13*4))/(PI()*BASE限界!$L$13*2)</f>
        <v>4.8091910505776072</v>
      </c>
      <c r="D48" s="16">
        <v>0.51684861029392248</v>
      </c>
      <c r="E48">
        <v>1.2945506573501451</v>
      </c>
      <c r="F48">
        <v>1.1116563724105711E-2</v>
      </c>
      <c r="G48">
        <v>-0.17849346298246341</v>
      </c>
      <c r="H48">
        <v>0.38227719693631212</v>
      </c>
      <c r="I48" s="19">
        <f>1/2*BASE限界!$F$4*(BASE限界!$F$5^2)*(B48+B47)/2000*E48*0.1</f>
        <v>4.802934515116406</v>
      </c>
      <c r="J48" s="19">
        <f>1/2*BASE限界!$F$4*(BASE限界!$F$5^2)*(B48+B47)/2000*F48*0.1</f>
        <v>4.1243753032645519E-2</v>
      </c>
    </row>
    <row r="49" spans="1:10" x14ac:dyDescent="1.1000000000000001">
      <c r="A49">
        <v>4500</v>
      </c>
      <c r="B49">
        <v>766.66666666666663</v>
      </c>
      <c r="C49" s="19">
        <f>4*$M$3*10^3*100*0.001*SQRT(1-4*A49^2/(BASE限界!$L$13*BASE限界!$L$13*4))/(PI()*BASE限界!$L$13*2)</f>
        <v>4.7876234327076883</v>
      </c>
      <c r="D49" s="16">
        <v>0.53662934540081109</v>
      </c>
      <c r="E49">
        <v>1.2887064221144451</v>
      </c>
      <c r="F49">
        <v>1.102911946375971E-2</v>
      </c>
      <c r="G49">
        <v>-0.17840675090733221</v>
      </c>
      <c r="H49">
        <v>0.38293329636915718</v>
      </c>
      <c r="I49" s="19">
        <f>1/2*BASE限界!$F$4*(BASE限界!$F$5^2)*(B49+B48)/2000*E49*0.1</f>
        <v>4.7537732599521316</v>
      </c>
      <c r="J49" s="19">
        <f>1/2*BASE限界!$F$4*(BASE限界!$F$5^2)*(B49+B48)/2000*F49*0.1</f>
        <v>4.068415605597285E-2</v>
      </c>
    </row>
    <row r="50" spans="1:10" x14ac:dyDescent="1.1000000000000001">
      <c r="A50">
        <v>4600</v>
      </c>
      <c r="B50">
        <v>762.22222222222217</v>
      </c>
      <c r="C50" s="19">
        <f>4*$M$3*10^3*100*0.001*SQRT(1-4*A50^2/(BASE限界!$L$13*BASE限界!$L$13*4))/(PI()*BASE限界!$L$13*2)</f>
        <v>4.765470224469456</v>
      </c>
      <c r="D50" s="16">
        <v>0.54283426118070932</v>
      </c>
      <c r="E50">
        <v>1.2836734211585921</v>
      </c>
      <c r="F50">
        <v>1.097195542899598E-2</v>
      </c>
      <c r="G50">
        <v>-0.1781978537160864</v>
      </c>
      <c r="H50">
        <v>0.38340098582993881</v>
      </c>
      <c r="I50" s="19">
        <f>1/2*BASE限界!$F$4*(BASE限界!$F$5^2)*(B50+B49)/2000*E50*0.1</f>
        <v>4.7078364113984428</v>
      </c>
      <c r="J50" s="19">
        <f>1/2*BASE限界!$F$4*(BASE限界!$F$5^2)*(B50+B49)/2000*F50*0.1</f>
        <v>4.0239340023295891E-2</v>
      </c>
    </row>
    <row r="51" spans="1:10" x14ac:dyDescent="1.1000000000000001">
      <c r="A51">
        <v>4700</v>
      </c>
      <c r="B51">
        <v>757.77777777777783</v>
      </c>
      <c r="C51" s="19">
        <f>4*$M$3*10^3*100*0.001*SQRT(1-4*A51^2/(BASE限界!$L$13*BASE限界!$L$13*4))/(PI()*BASE限界!$L$13*2)</f>
        <v>4.7427232200114089</v>
      </c>
      <c r="D51" s="16">
        <v>0.54381952306344794</v>
      </c>
      <c r="E51">
        <v>1.2789840838980171</v>
      </c>
      <c r="F51">
        <v>1.0925140390586339E-2</v>
      </c>
      <c r="G51">
        <v>-0.17794981275818961</v>
      </c>
      <c r="H51">
        <v>0.38379732966202013</v>
      </c>
      <c r="I51" s="19">
        <f>1/2*BASE限界!$F$4*(BASE限界!$F$5^2)*(B51+B50)/2000*E51*0.1</f>
        <v>4.6633672445198862</v>
      </c>
      <c r="J51" s="19">
        <f>1/2*BASE限界!$F$4*(BASE限界!$F$5^2)*(B51+B50)/2000*F51*0.1</f>
        <v>3.9834695740673498E-2</v>
      </c>
    </row>
    <row r="52" spans="1:10" x14ac:dyDescent="1.1000000000000001">
      <c r="A52">
        <v>4800</v>
      </c>
      <c r="B52">
        <v>753.33333333333337</v>
      </c>
      <c r="C52" s="19">
        <f>4*$M$3*10^3*100*0.001*SQRT(1-4*A52^2/(BASE限界!$L$13*BASE限界!$L$13*4))/(PI()*BASE限界!$L$13*2)</f>
        <v>4.7193738331904829</v>
      </c>
      <c r="D52" s="16">
        <v>0.54228709890925231</v>
      </c>
      <c r="E52">
        <v>1.2744865048663321</v>
      </c>
      <c r="F52">
        <v>1.088226512596697E-2</v>
      </c>
      <c r="G52">
        <v>-0.1776893214001358</v>
      </c>
      <c r="H52">
        <v>0.3841601963669608</v>
      </c>
      <c r="I52" s="19">
        <f>1/2*BASE限界!$F$4*(BASE限界!$F$5^2)*(B52+B51)/2000*E52*0.1</f>
        <v>4.6197931449545733</v>
      </c>
      <c r="J52" s="19">
        <f>1/2*BASE限界!$F$4*(BASE限界!$F$5^2)*(B52+B51)/2000*F52*0.1</f>
        <v>3.9446328885054088E-2</v>
      </c>
    </row>
    <row r="53" spans="1:10" x14ac:dyDescent="1.1000000000000001">
      <c r="A53">
        <v>4900</v>
      </c>
      <c r="B53">
        <v>748.88888888888891</v>
      </c>
      <c r="C53" s="19">
        <f>4*$M$3*10^3*100*0.001*SQRT(1-4*A53^2/(BASE限界!$L$13*BASE限界!$L$13*4))/(PI()*BASE限界!$L$13*2)</f>
        <v>4.6954130774201213</v>
      </c>
      <c r="D53" s="16">
        <v>0.5388981602270867</v>
      </c>
      <c r="E53">
        <v>1.2701314435908659</v>
      </c>
      <c r="F53">
        <v>1.0842282593529271E-2</v>
      </c>
      <c r="G53">
        <v>-0.17742002168680671</v>
      </c>
      <c r="H53">
        <v>0.38449862568977161</v>
      </c>
      <c r="I53" s="19">
        <f>1/2*BASE限界!$F$4*(BASE限界!$F$5^2)*(B53+B52)/2000*E53*0.1</f>
        <v>4.5769244081348619</v>
      </c>
      <c r="J53" s="19">
        <f>1/2*BASE限界!$F$4*(BASE限界!$F$5^2)*(B53+B52)/2000*F53*0.1</f>
        <v>3.9070214419638316E-2</v>
      </c>
    </row>
    <row r="54" spans="1:10" x14ac:dyDescent="1.1000000000000001">
      <c r="A54">
        <v>5000</v>
      </c>
      <c r="B54">
        <v>744.44444444444446</v>
      </c>
      <c r="C54" s="19">
        <f>4*$M$3*10^3*100*0.001*SQRT(1-4*A54^2/(BASE限界!$L$13*BASE限界!$L$13*4))/(PI()*BASE限界!$L$13*2)</f>
        <v>4.6708315439812171</v>
      </c>
      <c r="D54" s="16">
        <v>0.53466810249277108</v>
      </c>
      <c r="E54">
        <v>1.2658456274086261</v>
      </c>
      <c r="F54">
        <v>1.0803558702659239E-2</v>
      </c>
      <c r="G54">
        <v>-0.17714828972663749</v>
      </c>
      <c r="H54">
        <v>0.38482702232416749</v>
      </c>
      <c r="I54" s="19">
        <f>1/2*BASE限界!$F$4*(BASE限界!$F$5^2)*(B54+B53)/2000*E54*0.1</f>
        <v>4.5344894415354169</v>
      </c>
      <c r="J54" s="19">
        <f>1/2*BASE限界!$F$4*(BASE限界!$F$5^2)*(B54+B53)/2000*F54*0.1</f>
        <v>3.8700313693466222E-2</v>
      </c>
    </row>
    <row r="55" spans="1:10" x14ac:dyDescent="1.1000000000000001">
      <c r="A55">
        <v>5100</v>
      </c>
      <c r="B55">
        <v>740</v>
      </c>
      <c r="C55" s="19">
        <f>4*$M$3*10^3*100*0.001*SQRT(1-4*A55^2/(BASE限界!$L$13*BASE限界!$L$13*4))/(PI()*BASE限界!$L$13*2)</f>
        <v>4.645619378654394</v>
      </c>
      <c r="D55" s="16">
        <v>0.52950828019579754</v>
      </c>
      <c r="E55">
        <v>1.2616344203862939</v>
      </c>
      <c r="F55">
        <v>1.076624758679131E-2</v>
      </c>
      <c r="G55">
        <v>-0.17687322462803731</v>
      </c>
      <c r="H55">
        <v>0.38514389922064951</v>
      </c>
      <c r="I55" s="19">
        <f>1/2*BASE限界!$F$4*(BASE限界!$F$5^2)*(B55+B54)/2000*E55*0.1</f>
        <v>4.4925029164060666</v>
      </c>
      <c r="J55" s="19">
        <f>1/2*BASE限界!$F$4*(BASE限界!$F$5^2)*(B55+B54)/2000*F55*0.1</f>
        <v>3.8337095041842899E-2</v>
      </c>
    </row>
    <row r="56" spans="1:10" x14ac:dyDescent="1.1000000000000001">
      <c r="A56">
        <v>5200</v>
      </c>
      <c r="B56">
        <v>735.55555555555554</v>
      </c>
      <c r="C56" s="19">
        <f>4*$M$3*10^3*100*0.001*SQRT(1-4*A56^2/(BASE限界!$L$13*BASE限界!$L$13*4))/(PI()*BASE限界!$L$13*2)</f>
        <v>4.6197662565162041</v>
      </c>
      <c r="D56" s="16">
        <v>0.52414335628582298</v>
      </c>
      <c r="E56">
        <v>1.257471975020811</v>
      </c>
      <c r="F56">
        <v>1.0729760629166011E-2</v>
      </c>
      <c r="G56">
        <v>-0.17660899816970929</v>
      </c>
      <c r="H56">
        <v>0.38546560535964702</v>
      </c>
      <c r="I56" s="19">
        <f>1/2*BASE限界!$F$4*(BASE限界!$F$5^2)*(B56+B55)/2000*E56*0.1</f>
        <v>4.4508685719894618</v>
      </c>
      <c r="J56" s="19">
        <f>1/2*BASE限界!$F$4*(BASE限界!$F$5^2)*(B56+B55)/2000*F56*0.1</f>
        <v>3.7978384662238296E-2</v>
      </c>
    </row>
    <row r="57" spans="1:10" x14ac:dyDescent="1.1000000000000001">
      <c r="A57">
        <v>5300</v>
      </c>
      <c r="B57">
        <v>731.11111111111109</v>
      </c>
      <c r="C57" s="19">
        <f>4*$M$3*10^3*100*0.001*SQRT(1-4*A57^2/(BASE限界!$L$13*BASE限界!$L$13*4))/(PI()*BASE限界!$L$13*2)</f>
        <v>4.5932613547238361</v>
      </c>
      <c r="D57" s="16">
        <v>0.51875731104956446</v>
      </c>
      <c r="E57">
        <v>1.253331852500116</v>
      </c>
      <c r="F57">
        <v>1.069336721000131E-2</v>
      </c>
      <c r="G57">
        <v>-0.17635134612130471</v>
      </c>
      <c r="H57">
        <v>0.38579051044953178</v>
      </c>
      <c r="I57" s="19">
        <f>1/2*BASE限界!$F$4*(BASE限界!$F$5^2)*(B57+B56)/2000*E57*0.1</f>
        <v>4.4094902717111335</v>
      </c>
      <c r="J57" s="19">
        <f>1/2*BASE限界!$F$4*(BASE限界!$F$5^2)*(B57+B56)/2000*F57*0.1</f>
        <v>3.7621559358183815E-2</v>
      </c>
    </row>
    <row r="58" spans="1:10" x14ac:dyDescent="1.1000000000000001">
      <c r="A58">
        <v>5400</v>
      </c>
      <c r="B58">
        <v>726.66666666666663</v>
      </c>
      <c r="C58" s="19">
        <f>4*$M$3*10^3*100*0.001*SQRT(1-4*A58^2/(BASE限界!$L$13*BASE限界!$L$13*4))/(PI()*BASE限界!$L$13*2)</f>
        <v>4.5660933230925504</v>
      </c>
      <c r="D58" s="16">
        <v>0.51319948810282756</v>
      </c>
      <c r="E58">
        <v>1.24921378692851</v>
      </c>
      <c r="F58">
        <v>1.065705217137242E-2</v>
      </c>
      <c r="G58">
        <v>-0.1760951809193754</v>
      </c>
      <c r="H58">
        <v>0.38611373530390908</v>
      </c>
      <c r="I58" s="19">
        <f>1/2*BASE限界!$F$4*(BASE限界!$F$5^2)*(B58+B57)/2000*E58*0.1</f>
        <v>4.3683656578251711</v>
      </c>
      <c r="J58" s="19">
        <f>1/2*BASE限界!$F$4*(BASE限界!$F$5^2)*(B58+B57)/2000*F58*0.1</f>
        <v>3.7266560140629179E-2</v>
      </c>
    </row>
    <row r="59" spans="1:10" x14ac:dyDescent="1.1000000000000001">
      <c r="A59">
        <v>5500</v>
      </c>
      <c r="B59">
        <v>722.22222222222217</v>
      </c>
      <c r="C59" s="19">
        <f>4*$M$3*10^3*100*0.001*SQRT(1-4*A59^2/(BASE限界!$L$13*BASE限界!$L$13*4))/(PI()*BASE限界!$L$13*2)</f>
        <v>4.53825025224684</v>
      </c>
      <c r="D59" s="16">
        <v>0.50791368573280316</v>
      </c>
      <c r="E59">
        <v>1.245088409164294</v>
      </c>
      <c r="F59">
        <v>1.062011089699964E-2</v>
      </c>
      <c r="G59">
        <v>-0.17584419293466549</v>
      </c>
      <c r="H59">
        <v>0.38644213149133122</v>
      </c>
      <c r="I59" s="19">
        <f>1/2*BASE限界!$F$4*(BASE限界!$F$5^2)*(B59+B58)/2000*E59*0.1</f>
        <v>4.3273912449110501</v>
      </c>
      <c r="J59" s="19">
        <f>1/2*BASE限界!$F$4*(BASE限界!$F$5^2)*(B59+B58)/2000*F59*0.1</f>
        <v>3.6910933052944704E-2</v>
      </c>
    </row>
    <row r="60" spans="1:10" x14ac:dyDescent="1.1000000000000001">
      <c r="A60">
        <v>5600</v>
      </c>
      <c r="B60">
        <v>717.77777777777783</v>
      </c>
      <c r="C60" s="19">
        <f>4*$M$3*10^3*100*0.001*SQRT(1-4*A60^2/(BASE限界!$L$13*BASE限界!$L$13*4))/(PI()*BASE限界!$L$13*2)</f>
        <v>4.5097196390999592</v>
      </c>
      <c r="D60" s="16">
        <v>0.50281678989789813</v>
      </c>
      <c r="E60">
        <v>1.240961478716146</v>
      </c>
      <c r="F60">
        <v>1.0582670632277601E-2</v>
      </c>
      <c r="G60">
        <v>-0.1755977617539001</v>
      </c>
      <c r="H60">
        <v>0.3867744394295129</v>
      </c>
      <c r="I60" s="19">
        <f>1/2*BASE限界!$F$4*(BASE限界!$F$5^2)*(B60+B59)/2000*E60*0.1</f>
        <v>4.2865873954769684</v>
      </c>
      <c r="J60" s="19">
        <f>1/2*BASE限界!$F$4*(BASE限界!$F$5^2)*(B60+B59)/2000*F60*0.1</f>
        <v>3.655515769090345E-2</v>
      </c>
    </row>
    <row r="61" spans="1:10" x14ac:dyDescent="1.1000000000000001">
      <c r="A61">
        <v>5700</v>
      </c>
      <c r="B61">
        <v>713.33333333333337</v>
      </c>
      <c r="C61" s="19">
        <f>4*$M$3*10^3*100*0.001*SQRT(1-4*A61^2/(BASE限界!$L$13*BASE限界!$L$13*4))/(PI()*BASE限界!$L$13*2)</f>
        <v>4.4804883493863059</v>
      </c>
      <c r="D61" s="16">
        <v>0.49788679253445772</v>
      </c>
      <c r="E61">
        <v>1.236834654548628</v>
      </c>
      <c r="F61">
        <v>1.054476263671918E-2</v>
      </c>
      <c r="G61">
        <v>-0.17535575960937269</v>
      </c>
      <c r="H61">
        <v>0.38711033776041248</v>
      </c>
      <c r="I61" s="19">
        <f>1/2*BASE限界!$F$4*(BASE限界!$F$5^2)*(B61+B60)/2000*E61*0.1</f>
        <v>4.2459599039442661</v>
      </c>
      <c r="J61" s="19">
        <f>1/2*BASE限界!$F$4*(BASE限界!$F$5^2)*(B61+B60)/2000*F61*0.1</f>
        <v>3.6199373285234024E-2</v>
      </c>
    </row>
    <row r="62" spans="1:10" x14ac:dyDescent="1.1000000000000001">
      <c r="A62">
        <v>5800</v>
      </c>
      <c r="B62">
        <v>708.88888888888891</v>
      </c>
      <c r="C62" s="19">
        <f>4*$M$3*10^3*100*0.001*SQRT(1-4*A62^2/(BASE限界!$L$13*BASE限界!$L$13*4))/(PI()*BASE限界!$L$13*2)</f>
        <v>4.450542576936682</v>
      </c>
      <c r="D62" s="16">
        <v>0.4935067092534533</v>
      </c>
      <c r="E62">
        <v>1.232683443234736</v>
      </c>
      <c r="F62">
        <v>1.050576328361022E-2</v>
      </c>
      <c r="G62">
        <v>-0.17512160415982561</v>
      </c>
      <c r="H62">
        <v>0.38745581723468309</v>
      </c>
      <c r="I62" s="19">
        <f>1/2*BASE限界!$F$4*(BASE限界!$F$5^2)*(B62+B61)/2000*E62*0.1</f>
        <v>4.2054252016918374</v>
      </c>
      <c r="J62" s="19">
        <f>1/2*BASE限界!$F$4*(BASE限界!$F$5^2)*(B62+B61)/2000*F62*0.1</f>
        <v>3.5841482189430139E-2</v>
      </c>
    </row>
    <row r="63" spans="1:10" x14ac:dyDescent="1.1000000000000001">
      <c r="A63">
        <v>5900</v>
      </c>
      <c r="B63">
        <v>704.44444444444446</v>
      </c>
      <c r="C63" s="19">
        <f>4*$M$3*10^3*100*0.001*SQRT(1-4*A63^2/(BASE限界!$L$13*BASE限界!$L$13*4))/(PI()*BASE限界!$L$13*2)</f>
        <v>4.4198677993468536</v>
      </c>
      <c r="D63" s="16">
        <v>0.48947297967714082</v>
      </c>
      <c r="E63">
        <v>1.2285012325123681</v>
      </c>
      <c r="F63">
        <v>1.046684888563184E-2</v>
      </c>
      <c r="G63">
        <v>-0.17488938148988101</v>
      </c>
      <c r="H63">
        <v>0.38781045710303591</v>
      </c>
      <c r="I63" s="19">
        <f>1/2*BASE限界!$F$4*(BASE限界!$F$5^2)*(B63+B62)/2000*E63*0.1</f>
        <v>4.164962431289303</v>
      </c>
      <c r="J63" s="19">
        <f>1/2*BASE限界!$F$4*(BASE限界!$F$5^2)*(B63+B62)/2000*F63*0.1</f>
        <v>3.5485542243605381E-2</v>
      </c>
    </row>
    <row r="64" spans="1:10" x14ac:dyDescent="1.1000000000000001">
      <c r="A64">
        <v>6000</v>
      </c>
      <c r="B64">
        <v>700</v>
      </c>
      <c r="C64" s="19">
        <f>4*$M$3*10^3*100*0.001*SQRT(1-4*A64^2/(BASE限界!$L$13*BASE限界!$L$13*4))/(PI()*BASE限界!$L$13*2)</f>
        <v>4.3884487296443835</v>
      </c>
      <c r="D64" s="16">
        <v>0.4858818445299703</v>
      </c>
      <c r="E64">
        <v>1.224253629512674</v>
      </c>
      <c r="F64">
        <v>1.0429124911729259E-2</v>
      </c>
      <c r="G64">
        <v>-0.17465372142290639</v>
      </c>
      <c r="H64">
        <v>0.38818051457176728</v>
      </c>
      <c r="I64" s="19">
        <f>1/2*BASE限界!$F$4*(BASE限界!$F$5^2)*(B64+B63)/2000*E64*0.1</f>
        <v>4.1244577075997517</v>
      </c>
      <c r="J64" s="19">
        <f>1/2*BASE限界!$F$4*(BASE限界!$F$5^2)*(B64+B63)/2000*F64*0.1</f>
        <v>3.5135272290615679E-2</v>
      </c>
    </row>
    <row r="65" spans="1:10" x14ac:dyDescent="1.1000000000000001">
      <c r="A65">
        <v>6100</v>
      </c>
      <c r="B65">
        <v>695.55555555555554</v>
      </c>
      <c r="C65" s="19">
        <f>4*$M$3*10^3*100*0.001*SQRT(1-4*A65^2/(BASE限界!$L$13*BASE限界!$L$13*4))/(PI()*BASE限界!$L$13*2)</f>
        <v>4.3562692635061966</v>
      </c>
      <c r="D65" s="16">
        <v>0.48281242079443992</v>
      </c>
      <c r="E65">
        <v>1.219985001944889</v>
      </c>
      <c r="F65">
        <v>1.039042814052071E-2</v>
      </c>
      <c r="G65">
        <v>-0.17442561021146441</v>
      </c>
      <c r="H65">
        <v>0.38856134343638182</v>
      </c>
      <c r="I65" s="19">
        <f>1/2*BASE限界!$F$4*(BASE限界!$F$5^2)*(B65+B64)/2000*E65*0.1</f>
        <v>4.0840637404750186</v>
      </c>
      <c r="J65" s="19">
        <f>1/2*BASE限界!$F$4*(BASE限界!$F$5^2)*(B65+B64)/2000*F65*0.1</f>
        <v>3.4783354507688317E-2</v>
      </c>
    </row>
    <row r="66" spans="1:10" x14ac:dyDescent="1.1000000000000001">
      <c r="A66">
        <v>6200</v>
      </c>
      <c r="B66">
        <v>691.11111111111109</v>
      </c>
      <c r="C66" s="19">
        <f>4*$M$3*10^3*100*0.001*SQRT(1-4*A66^2/(BASE限界!$L$13*BASE限界!$L$13*4))/(PI()*BASE限界!$L$13*2)</f>
        <v>4.3233124215186498</v>
      </c>
      <c r="D66" s="16">
        <v>0.48037008610247628</v>
      </c>
      <c r="E66">
        <v>1.21568900406207</v>
      </c>
      <c r="F66">
        <v>1.035059437599673E-2</v>
      </c>
      <c r="G66">
        <v>-0.17420608819766559</v>
      </c>
      <c r="H66">
        <v>0.38895479641223768</v>
      </c>
      <c r="I66" s="19">
        <f>1/2*BASE限界!$F$4*(BASE限界!$F$5^2)*(B66+B65)/2000*E66*0.1</f>
        <v>4.0437607668715208</v>
      </c>
      <c r="J66" s="19">
        <f>1/2*BASE限界!$F$4*(BASE限界!$F$5^2)*(B66+B65)/2000*F66*0.1</f>
        <v>3.4429304955134354E-2</v>
      </c>
    </row>
    <row r="67" spans="1:10" x14ac:dyDescent="1.1000000000000001">
      <c r="A67">
        <v>6300</v>
      </c>
      <c r="B67">
        <v>686.66666666666663</v>
      </c>
      <c r="C67" s="19">
        <f>4*$M$3*10^3*100*0.001*SQRT(1-4*A67^2/(BASE限界!$L$13*BASE限界!$L$13*4))/(PI()*BASE限界!$L$13*2)</f>
        <v>4.2895602859014934</v>
      </c>
      <c r="D67" s="16">
        <v>0.47874730194559711</v>
      </c>
      <c r="E67">
        <v>1.2113536681241821</v>
      </c>
      <c r="F67">
        <v>1.0309329544452029E-2</v>
      </c>
      <c r="G67">
        <v>-0.17399696825695399</v>
      </c>
      <c r="H67">
        <v>0.38936419915937093</v>
      </c>
      <c r="I67" s="19">
        <f>1/2*BASE限界!$F$4*(BASE限界!$F$5^2)*(B67+B66)/2000*E67*0.1</f>
        <v>4.0035109843473933</v>
      </c>
      <c r="J67" s="19">
        <f>1/2*BASE限界!$F$4*(BASE限界!$F$5^2)*(B67+B66)/2000*F67*0.1</f>
        <v>3.4072224453147608E-2</v>
      </c>
    </row>
    <row r="68" spans="1:10" x14ac:dyDescent="1.1000000000000001">
      <c r="A68">
        <v>6400</v>
      </c>
      <c r="B68">
        <v>682.22222222222217</v>
      </c>
      <c r="C68" s="19">
        <f>4*$M$3*10^3*100*0.001*SQRT(1-4*A68^2/(BASE限界!$L$13*BASE限界!$L$13*4))/(PI()*BASE限界!$L$13*2)</f>
        <v>4.2549939310351963</v>
      </c>
      <c r="D68" s="16">
        <v>0.47787788005325532</v>
      </c>
      <c r="E68">
        <v>1.2069845733178901</v>
      </c>
      <c r="F68">
        <v>1.0266712264640879E-2</v>
      </c>
      <c r="G68">
        <v>-0.17379796464966779</v>
      </c>
      <c r="H68">
        <v>0.38978863311369771</v>
      </c>
      <c r="I68" s="19">
        <f>1/2*BASE限界!$F$4*(BASE限界!$F$5^2)*(B68+B67)/2000*E68*0.1</f>
        <v>3.9633352294513813</v>
      </c>
      <c r="J68" s="19">
        <f>1/2*BASE限界!$F$4*(BASE限界!$F$5^2)*(B68+B67)/2000*F68*0.1</f>
        <v>3.3712462701356263E-2</v>
      </c>
    </row>
    <row r="69" spans="1:10" x14ac:dyDescent="1.1000000000000001">
      <c r="A69">
        <v>6500</v>
      </c>
      <c r="B69">
        <v>677.77777777777783</v>
      </c>
      <c r="C69" s="19">
        <f>4*$M$3*10^3*100*0.001*SQRT(1-4*A69^2/(BASE限界!$L$13*BASE限界!$L$13*4))/(PI()*BASE限界!$L$13*2)</f>
        <v>4.219593347035544</v>
      </c>
      <c r="D69" s="16">
        <v>0.47790321870203978</v>
      </c>
      <c r="E69">
        <v>1.2025517875345979</v>
      </c>
      <c r="F69">
        <v>1.0222787345668999E-2</v>
      </c>
      <c r="G69">
        <v>-0.17360564544145909</v>
      </c>
      <c r="H69">
        <v>0.39022842935131402</v>
      </c>
      <c r="I69" s="19">
        <f>1/2*BASE限界!$F$4*(BASE限界!$F$5^2)*(B69+B68)/2000*E69*0.1</f>
        <v>3.9231380128101714</v>
      </c>
      <c r="J69" s="19">
        <f>1/2*BASE限界!$F$4*(BASE限界!$F$5^2)*(B69+B68)/2000*F69*0.1</f>
        <v>3.335025239527574E-2</v>
      </c>
    </row>
    <row r="70" spans="1:10" x14ac:dyDescent="1.1000000000000001">
      <c r="A70">
        <v>6600</v>
      </c>
      <c r="B70">
        <v>673.33333333333337</v>
      </c>
      <c r="C70" s="19">
        <f>4*$M$3*10^3*100*0.001*SQRT(1-4*A70^2/(BASE限界!$L$13*BASE限界!$L$13*4))/(PI()*BASE限界!$L$13*2)</f>
        <v>4.1833373555074553</v>
      </c>
      <c r="D70" s="16">
        <v>0.47902970710881648</v>
      </c>
      <c r="E70">
        <v>1.197967346727917</v>
      </c>
      <c r="F70">
        <v>1.0178247298936551E-2</v>
      </c>
      <c r="G70">
        <v>-0.17340547711139059</v>
      </c>
      <c r="H70">
        <v>0.39068080290297508</v>
      </c>
      <c r="I70" s="19">
        <f>1/2*BASE限界!$F$4*(BASE限界!$F$5^2)*(B70+B69)/2000*E70*0.1</f>
        <v>3.8826383151845549</v>
      </c>
      <c r="J70" s="19">
        <f>1/2*BASE限界!$F$4*(BASE限界!$F$5^2)*(B70+B69)/2000*F70*0.1</f>
        <v>3.2987921625922421E-2</v>
      </c>
    </row>
    <row r="71" spans="1:10" x14ac:dyDescent="1.1000000000000001">
      <c r="A71">
        <v>6700</v>
      </c>
      <c r="B71">
        <v>668.88888888888891</v>
      </c>
      <c r="C71" s="19">
        <f>4*$M$3*10^3*100*0.001*SQRT(1-4*A71^2/(BASE限界!$L$13*BASE限界!$L$13*4))/(PI()*BASE限界!$L$13*2)</f>
        <v>4.1462035164785158</v>
      </c>
      <c r="D71" s="16">
        <v>0.48183180251557212</v>
      </c>
      <c r="E71">
        <v>1.193269262090882</v>
      </c>
      <c r="F71">
        <v>1.0131361402404129E-2</v>
      </c>
      <c r="G71">
        <v>-0.17321987243381359</v>
      </c>
      <c r="H71">
        <v>0.39116415163678858</v>
      </c>
      <c r="I71" s="19">
        <f>1/2*BASE限界!$F$4*(BASE限界!$F$5^2)*(B71+B70)/2000*E71*0.1</f>
        <v>3.8419682221847609</v>
      </c>
      <c r="J71" s="19">
        <f>1/2*BASE限界!$F$4*(BASE限界!$F$5^2)*(B71+B70)/2000*F71*0.1</f>
        <v>3.2619937336943933E-2</v>
      </c>
    </row>
    <row r="72" spans="1:10" x14ac:dyDescent="1.1000000000000001">
      <c r="A72">
        <v>6800</v>
      </c>
      <c r="B72">
        <v>664.44444444444446</v>
      </c>
      <c r="C72" s="19">
        <f>4*$M$3*10^3*100*0.001*SQRT(1-4*A72^2/(BASE限界!$L$13*BASE限界!$L$13*4))/(PI()*BASE限界!$L$13*2)</f>
        <v>4.1081680253576192</v>
      </c>
      <c r="D72" s="16">
        <v>0.48699259032567871</v>
      </c>
      <c r="E72">
        <v>1.188409678076239</v>
      </c>
      <c r="F72">
        <v>1.008117333650701E-2</v>
      </c>
      <c r="G72">
        <v>-0.17305419586789769</v>
      </c>
      <c r="H72">
        <v>0.39169014865965079</v>
      </c>
      <c r="I72" s="19">
        <f>1/2*BASE限界!$F$4*(BASE限界!$F$5^2)*(B72+B71)/2000*E72*0.1</f>
        <v>3.8009819432545124</v>
      </c>
      <c r="J72" s="19">
        <f>1/2*BASE限界!$F$4*(BASE限界!$F$5^2)*(B72+B71)/2000*F72*0.1</f>
        <v>3.2243390916262625E-2</v>
      </c>
    </row>
    <row r="73" spans="1:10" x14ac:dyDescent="1.1000000000000001">
      <c r="A73">
        <v>6900</v>
      </c>
      <c r="B73">
        <v>660</v>
      </c>
      <c r="C73" s="19">
        <f>4*$M$3*10^3*100*0.001*SQRT(1-4*A73^2/(BASE限界!$L$13*BASE限界!$L$13*4))/(PI()*BASE限界!$L$13*2)</f>
        <v>4.069205598580619</v>
      </c>
      <c r="D73" s="16">
        <v>0.48688606181678168</v>
      </c>
      <c r="E73">
        <v>1.183931089611008</v>
      </c>
      <c r="F73">
        <v>1.003835951345651E-2</v>
      </c>
      <c r="G73">
        <v>-0.17285164546362591</v>
      </c>
      <c r="H73">
        <v>0.39213362001997693</v>
      </c>
      <c r="I73" s="19">
        <f>1/2*BASE限界!$F$4*(BASE限界!$F$5^2)*(B73+B72)/2000*E73*0.1</f>
        <v>3.761413344945165</v>
      </c>
      <c r="J73" s="19">
        <f>1/2*BASE限界!$F$4*(BASE限界!$F$5^2)*(B73+B72)/2000*F73*0.1</f>
        <v>3.1892413136712601E-2</v>
      </c>
    </row>
    <row r="74" spans="1:10" x14ac:dyDescent="1.1000000000000001">
      <c r="A74">
        <v>7000</v>
      </c>
      <c r="B74">
        <v>655.20000000000005</v>
      </c>
      <c r="C74" s="19">
        <f>4*$M$3*10^3*100*0.001*SQRT(1-4*A74^2/(BASE限界!$L$13*BASE限界!$L$13*4))/(PI()*BASE限界!$L$13*2)</f>
        <v>4.0292893463868031</v>
      </c>
      <c r="D74" s="16">
        <v>0.47921811662521618</v>
      </c>
      <c r="E74">
        <v>1.1786392911689401</v>
      </c>
      <c r="F74">
        <v>9.9635168917916947E-3</v>
      </c>
      <c r="G74">
        <v>-0.17321108023702159</v>
      </c>
      <c r="H74">
        <v>0.39318804328664858</v>
      </c>
      <c r="I74" s="19">
        <f>1/2*BASE限界!$F$4*(BASE限界!$F$5^2)*(B74+B73)/2000*E74*0.1</f>
        <v>3.7184642015667557</v>
      </c>
      <c r="J74" s="19">
        <f>1/2*BASE限界!$F$4*(BASE限界!$F$5^2)*(B74+B73)/2000*F74*0.1</f>
        <v>3.1433688967800313E-2</v>
      </c>
    </row>
    <row r="75" spans="1:10" x14ac:dyDescent="1.1000000000000001">
      <c r="A75">
        <v>7100</v>
      </c>
      <c r="B75">
        <v>650.4</v>
      </c>
      <c r="C75" s="19">
        <f>4*$M$3*10^3*100*0.001*SQRT(1-4*A75^2/(BASE限界!$L$13*BASE限界!$L$13*4))/(PI()*BASE限界!$L$13*2)</f>
        <v>3.9883906309098842</v>
      </c>
      <c r="D75" s="16">
        <v>0.4664957282328594</v>
      </c>
      <c r="E75">
        <v>1.173703322945596</v>
      </c>
      <c r="F75">
        <v>9.8950756899938309E-3</v>
      </c>
      <c r="G75">
        <v>-0.1735336697558886</v>
      </c>
      <c r="H75">
        <v>0.39416242737995871</v>
      </c>
      <c r="I75" s="19">
        <f>1/2*BASE限界!$F$4*(BASE限界!$F$5^2)*(B75+B74)/2000*E75*0.1</f>
        <v>3.6758634122457061</v>
      </c>
      <c r="J75" s="19">
        <f>1/2*BASE限界!$F$4*(BASE限界!$F$5^2)*(B75+B74)/2000*F75*0.1</f>
        <v>3.0989898366280962E-2</v>
      </c>
    </row>
    <row r="76" spans="1:10" x14ac:dyDescent="1.1000000000000001">
      <c r="A76">
        <v>7200</v>
      </c>
      <c r="B76">
        <v>645.6</v>
      </c>
      <c r="C76" s="19">
        <f>4*$M$3*10^3*100*0.001*SQRT(1-4*A76^2/(BASE限界!$L$13*BASE限界!$L$13*4))/(PI()*BASE限界!$L$13*2)</f>
        <v>3.9464789074554187</v>
      </c>
      <c r="D76" s="16">
        <v>0.45624144757013679</v>
      </c>
      <c r="E76">
        <v>1.1683457948532121</v>
      </c>
      <c r="F76">
        <v>9.8263945286754546E-3</v>
      </c>
      <c r="G76">
        <v>-0.17385291910669939</v>
      </c>
      <c r="H76">
        <v>0.39520410460869232</v>
      </c>
      <c r="I76" s="19">
        <f>1/2*BASE限界!$F$4*(BASE限界!$F$5^2)*(B76+B75)/2000*E76*0.1</f>
        <v>3.6321794022662637</v>
      </c>
      <c r="J76" s="19">
        <f>1/2*BASE限界!$F$4*(BASE限界!$F$5^2)*(B76+B75)/2000*F76*0.1</f>
        <v>3.0548513944093966E-2</v>
      </c>
    </row>
    <row r="77" spans="1:10" x14ac:dyDescent="1.1000000000000001">
      <c r="A77">
        <v>7300</v>
      </c>
      <c r="B77">
        <v>640.79999999999995</v>
      </c>
      <c r="C77" s="19">
        <f>4*$M$3*10^3*100*0.001*SQRT(1-4*A77^2/(BASE限界!$L$13*BASE限界!$L$13*4))/(PI()*BASE限界!$L$13*2)</f>
        <v>3.9035215464614117</v>
      </c>
      <c r="D77" s="16">
        <v>0.44807942606518242</v>
      </c>
      <c r="E77">
        <v>1.162835152499397</v>
      </c>
      <c r="F77">
        <v>9.7521683269523526E-3</v>
      </c>
      <c r="G77">
        <v>-0.17418333533167929</v>
      </c>
      <c r="H77">
        <v>0.39628456295127851</v>
      </c>
      <c r="I77" s="19">
        <f>1/2*BASE限界!$F$4*(BASE限界!$F$5^2)*(B77+B76)/2000*E77*0.1</f>
        <v>3.5882696628944895</v>
      </c>
      <c r="J77" s="19">
        <f>1/2*BASE限界!$F$4*(BASE限界!$F$5^2)*(B77+B76)/2000*F77*0.1</f>
        <v>3.0093181892402229E-2</v>
      </c>
    </row>
    <row r="78" spans="1:10" x14ac:dyDescent="1.1000000000000001">
      <c r="A78">
        <v>7400</v>
      </c>
      <c r="B78">
        <v>636</v>
      </c>
      <c r="C78" s="19">
        <f>4*$M$3*10^3*100*0.001*SQRT(1-4*A78^2/(BASE限界!$L$13*BASE限界!$L$13*4))/(PI()*BASE限界!$L$13*2)</f>
        <v>3.859483633185103</v>
      </c>
      <c r="D78" s="16">
        <v>0.44144921066961751</v>
      </c>
      <c r="E78">
        <v>1.1572061498312429</v>
      </c>
      <c r="F78">
        <v>9.6723421208491436E-3</v>
      </c>
      <c r="G78">
        <v>-0.17451385463255339</v>
      </c>
      <c r="H78">
        <v>0.39740092642351738</v>
      </c>
      <c r="I78" s="19">
        <f>1/2*BASE限界!$F$4*(BASE限界!$F$5^2)*(B78+B77)/2000*E78*0.1</f>
        <v>3.5442512152142189</v>
      </c>
      <c r="J78" s="19">
        <f>1/2*BASE限界!$F$4*(BASE限界!$F$5^2)*(B78+B77)/2000*F78*0.1</f>
        <v>2.9624116948208865E-2</v>
      </c>
    </row>
    <row r="79" spans="1:10" x14ac:dyDescent="1.1000000000000001">
      <c r="A79">
        <v>7500</v>
      </c>
      <c r="B79">
        <v>631.20000000000005</v>
      </c>
      <c r="C79" s="19">
        <f>4*$M$3*10^3*100*0.001*SQRT(1-4*A79^2/(BASE限界!$L$13*BASE限界!$L$13*4))/(PI()*BASE限界!$L$13*2)</f>
        <v>3.8143277416074373</v>
      </c>
      <c r="D79" s="16">
        <v>0.43620813123083702</v>
      </c>
      <c r="E79">
        <v>1.1515246643688171</v>
      </c>
      <c r="F79">
        <v>9.58774454466544E-3</v>
      </c>
      <c r="G79">
        <v>-0.1748612677802435</v>
      </c>
      <c r="H79">
        <v>0.39853553823092419</v>
      </c>
      <c r="I79" s="19">
        <f>1/2*BASE限界!$F$4*(BASE限界!$F$5^2)*(B79+B78)/2000*E79*0.1</f>
        <v>3.5003324864962191</v>
      </c>
      <c r="J79" s="19">
        <f>1/2*BASE限界!$F$4*(BASE限界!$F$5^2)*(B79+B78)/2000*F79*0.1</f>
        <v>2.914422481807168E-2</v>
      </c>
    </row>
    <row r="80" spans="1:10" x14ac:dyDescent="1.1000000000000001">
      <c r="A80">
        <v>7600</v>
      </c>
      <c r="B80">
        <v>626.4</v>
      </c>
      <c r="C80" s="19">
        <f>4*$M$3*10^3*100*0.001*SQRT(1-4*A80^2/(BASE限界!$L$13*BASE限界!$L$13*4))/(PI()*BASE限界!$L$13*2)</f>
        <v>3.7680136783729585</v>
      </c>
      <c r="D80" s="16">
        <v>0.43227913829938669</v>
      </c>
      <c r="E80">
        <v>1.1457874478203109</v>
      </c>
      <c r="F80">
        <v>9.4980501270189449E-3</v>
      </c>
      <c r="G80">
        <v>-0.17523059028554341</v>
      </c>
      <c r="H80">
        <v>0.39969106350981343</v>
      </c>
      <c r="I80" s="19">
        <f>1/2*BASE限界!$F$4*(BASE限界!$F$5^2)*(B80+B79)/2000*E80*0.1</f>
        <v>3.4565073033599987</v>
      </c>
      <c r="J80" s="19">
        <f>1/2*BASE限界!$F$4*(BASE限界!$F$5^2)*(B80+B79)/2000*F80*0.1</f>
        <v>2.8652853279353564E-2</v>
      </c>
    </row>
    <row r="81" spans="1:10" x14ac:dyDescent="1.1000000000000001">
      <c r="A81">
        <v>7700</v>
      </c>
      <c r="B81">
        <v>621.6</v>
      </c>
      <c r="C81" s="19">
        <f>4*$M$3*10^3*100*0.001*SQRT(1-4*A81^2/(BASE限界!$L$13*BASE限界!$L$13*4))/(PI()*BASE限界!$L$13*2)</f>
        <v>3.7204981917550435</v>
      </c>
      <c r="D81" s="16">
        <v>0.42965019156166739</v>
      </c>
      <c r="E81">
        <v>1.1399448835409249</v>
      </c>
      <c r="F81">
        <v>9.4003057011637983E-3</v>
      </c>
      <c r="G81">
        <v>-0.17565468746353111</v>
      </c>
      <c r="H81">
        <v>0.40088762131784811</v>
      </c>
      <c r="I81" s="19">
        <f>1/2*BASE限界!$F$4*(BASE限界!$F$5^2)*(B81+B80)/2000*E81*0.1</f>
        <v>3.4126309795930534</v>
      </c>
      <c r="J81" s="19">
        <f>1/2*BASE限界!$F$4*(BASE限界!$F$5^2)*(B81+B80)/2000*F81*0.1</f>
        <v>2.8141513608789387E-2</v>
      </c>
    </row>
    <row r="82" spans="1:10" x14ac:dyDescent="1.1000000000000001">
      <c r="A82">
        <v>7800</v>
      </c>
      <c r="B82">
        <v>616.79999999999995</v>
      </c>
      <c r="C82" s="19">
        <f>4*$M$3*10^3*100*0.001*SQRT(1-4*A82^2/(BASE限界!$L$13*BASE限界!$L$13*4))/(PI()*BASE限界!$L$13*2)</f>
        <v>3.6717346396133523</v>
      </c>
      <c r="D82" s="16">
        <v>0.42833562758662158</v>
      </c>
      <c r="E82">
        <v>1.1341047769836941</v>
      </c>
      <c r="F82">
        <v>9.2964176258200203E-3</v>
      </c>
      <c r="G82">
        <v>-0.1760735762433133</v>
      </c>
      <c r="H82">
        <v>0.40212513389573151</v>
      </c>
      <c r="I82" s="19">
        <f>1/2*BASE限界!$F$4*(BASE限界!$F$5^2)*(B82+B81)/2000*E82*0.1</f>
        <v>3.3690310456616857</v>
      </c>
      <c r="J82" s="19">
        <f>1/2*BASE限界!$F$4*(BASE限界!$F$5^2)*(B82+B81)/2000*F82*0.1</f>
        <v>2.7616425069757429E-2</v>
      </c>
    </row>
    <row r="83" spans="1:10" x14ac:dyDescent="1.1000000000000001">
      <c r="A83">
        <v>7900</v>
      </c>
      <c r="B83">
        <v>612</v>
      </c>
      <c r="C83" s="19">
        <f>4*$M$3*10^3*100*0.001*SQRT(1-4*A83^2/(BASE限界!$L$13*BASE限界!$L$13*4))/(PI()*BASE限界!$L$13*2)</f>
        <v>3.6216726090382414</v>
      </c>
      <c r="D83" s="16">
        <v>0.42836648847480169</v>
      </c>
      <c r="E83">
        <v>1.128267573043644</v>
      </c>
      <c r="F83">
        <v>9.1859442993623332E-3</v>
      </c>
      <c r="G83">
        <v>-0.17650023871701859</v>
      </c>
      <c r="H83">
        <v>0.4034014334413939</v>
      </c>
      <c r="I83" s="19">
        <f>1/2*BASE限界!$F$4*(BASE限界!$F$5^2)*(B83+B82)/2000*E83*0.1</f>
        <v>3.3257086431575931</v>
      </c>
      <c r="J83" s="19">
        <f>1/2*BASE限界!$F$4*(BASE限界!$F$5^2)*(B83+B82)/2000*F83*0.1</f>
        <v>2.7076710420332002E-2</v>
      </c>
    </row>
    <row r="84" spans="1:10" x14ac:dyDescent="1.1000000000000001">
      <c r="A84">
        <v>8000</v>
      </c>
      <c r="B84">
        <v>607.20000000000005</v>
      </c>
      <c r="C84" s="19">
        <f>4*$M$3*10^3*100*0.001*SQRT(1-4*A84^2/(BASE限界!$L$13*BASE限界!$L$13*4))/(PI()*BASE限界!$L$13*2)</f>
        <v>3.5702574787844554</v>
      </c>
      <c r="D84" s="16">
        <v>0.4298279130642364</v>
      </c>
      <c r="E84">
        <v>1.122416136953275</v>
      </c>
      <c r="F84">
        <v>9.0670699244862849E-3</v>
      </c>
      <c r="G84">
        <v>-0.1769537003236302</v>
      </c>
      <c r="H84">
        <v>0.40473335490124651</v>
      </c>
      <c r="I84" s="19">
        <f>1/2*BASE限界!$F$4*(BASE限界!$F$5^2)*(B84+B83)/2000*E84*0.1</f>
        <v>3.2826134592855087</v>
      </c>
      <c r="J84" s="19">
        <f>1/2*BASE限界!$F$4*(BASE限界!$F$5^2)*(B84+B83)/2000*F84*0.1</f>
        <v>2.6517514129111769E-2</v>
      </c>
    </row>
    <row r="85" spans="1:10" x14ac:dyDescent="1.1000000000000001">
      <c r="A85">
        <v>8100</v>
      </c>
      <c r="B85">
        <v>602.4</v>
      </c>
      <c r="C85" s="19">
        <f>4*$M$3*10^3*100*0.001*SQRT(1-4*A85^2/(BASE限界!$L$13*BASE限界!$L$13*4))/(PI()*BASE限界!$L$13*2)</f>
        <v>3.5174299135891856</v>
      </c>
      <c r="D85" s="16">
        <v>0.43279873847105149</v>
      </c>
      <c r="E85">
        <v>1.116536538880545</v>
      </c>
      <c r="F85">
        <v>8.9416853900142548E-3</v>
      </c>
      <c r="G85">
        <v>-0.17746043795822961</v>
      </c>
      <c r="H85">
        <v>0.40611380068694503</v>
      </c>
      <c r="I85" s="19">
        <f>1/2*BASE限界!$F$4*(BASE限界!$F$5^2)*(B85+B84)/2000*E85*0.1</f>
        <v>3.2397060589256661</v>
      </c>
      <c r="J85" s="19">
        <f>1/2*BASE限界!$F$4*(BASE限界!$F$5^2)*(B85+B84)/2000*F85*0.1</f>
        <v>2.5944903123439601E-2</v>
      </c>
    </row>
    <row r="86" spans="1:10" x14ac:dyDescent="1.1000000000000001">
      <c r="A86">
        <v>8200</v>
      </c>
      <c r="B86">
        <v>597.6</v>
      </c>
      <c r="C86" s="19">
        <f>4*$M$3*10^3*100*0.001*SQRT(1-4*A86^2/(BASE限界!$L$13*BASE限界!$L$13*4))/(PI()*BASE限界!$L$13*2)</f>
        <v>3.4631252769203895</v>
      </c>
      <c r="D86" s="16">
        <v>0.43743234679537157</v>
      </c>
      <c r="E86">
        <v>1.1106045845613739</v>
      </c>
      <c r="F86">
        <v>8.8105078222863245E-3</v>
      </c>
      <c r="G86">
        <v>-0.17800517336210661</v>
      </c>
      <c r="H86">
        <v>0.40753692706265032</v>
      </c>
      <c r="I86" s="19">
        <f>1/2*BASE限界!$F$4*(BASE限界!$F$5^2)*(B86+B85)/2000*E86*0.1</f>
        <v>3.1969187435112634</v>
      </c>
      <c r="J86" s="19">
        <f>1/2*BASE限界!$F$4*(BASE限界!$F$5^2)*(B86+B85)/2000*F86*0.1</f>
        <v>2.5361391433517195E-2</v>
      </c>
    </row>
    <row r="87" spans="1:10" x14ac:dyDescent="1.1000000000000001">
      <c r="A87">
        <v>8300</v>
      </c>
      <c r="B87">
        <v>592.79999999999995</v>
      </c>
      <c r="C87" s="19">
        <f>4*$M$3*10^3*100*0.001*SQRT(1-4*A87^2/(BASE限界!$L$13*BASE限界!$L$13*4))/(PI()*BASE限界!$L$13*2)</f>
        <v>3.4072729454381907</v>
      </c>
      <c r="D87" s="16">
        <v>0.44387451912659148</v>
      </c>
      <c r="E87">
        <v>1.1045913844305359</v>
      </c>
      <c r="F87">
        <v>8.675161834796238E-3</v>
      </c>
      <c r="G87">
        <v>-0.17858600603760311</v>
      </c>
      <c r="H87">
        <v>0.40899943107498948</v>
      </c>
      <c r="I87" s="19">
        <f>1/2*BASE限界!$F$4*(BASE限界!$F$5^2)*(B87+B86)/2000*E87*0.1</f>
        <v>3.1541726356046715</v>
      </c>
      <c r="J87" s="19">
        <f>1/2*BASE限界!$F$4*(BASE限界!$F$5^2)*(B87+B86)/2000*F87*0.1</f>
        <v>2.4772018372081622E-2</v>
      </c>
    </row>
    <row r="88" spans="1:10" x14ac:dyDescent="1.1000000000000001">
      <c r="A88">
        <v>8400</v>
      </c>
      <c r="B88">
        <v>588</v>
      </c>
      <c r="C88" s="19">
        <f>4*$M$3*10^3*100*0.001*SQRT(1-4*A88^2/(BASE限界!$L$13*BASE限界!$L$13*4))/(PI()*BASE限界!$L$13*2)</f>
        <v>3.3497955042393817</v>
      </c>
      <c r="D88" s="16">
        <v>0.45236228608744378</v>
      </c>
      <c r="E88">
        <v>1.0984933327733559</v>
      </c>
      <c r="F88">
        <v>8.5311951307643508E-3</v>
      </c>
      <c r="G88">
        <v>-0.17916442583148209</v>
      </c>
      <c r="H88">
        <v>0.41050593852122652</v>
      </c>
      <c r="I88" s="19">
        <f>1/2*BASE限界!$F$4*(BASE限界!$F$5^2)*(B88+B87)/2000*E88*0.1</f>
        <v>3.1114631349441271</v>
      </c>
      <c r="J88" s="19">
        <f>1/2*BASE限界!$F$4*(BASE限界!$F$5^2)*(B88+B87)/2000*F88*0.1</f>
        <v>2.4164460861470564E-2</v>
      </c>
    </row>
    <row r="89" spans="1:10" x14ac:dyDescent="1.1000000000000001">
      <c r="A89">
        <v>8500</v>
      </c>
      <c r="B89">
        <v>583.20000000000005</v>
      </c>
      <c r="C89" s="19">
        <f>4*$M$3*10^3*100*0.001*SQRT(1-4*A89^2/(BASE限界!$L$13*BASE限界!$L$13*4))/(PI()*BASE限界!$L$13*2)</f>
        <v>3.2906077964666212</v>
      </c>
      <c r="D89" s="16">
        <v>0.46314526997584921</v>
      </c>
      <c r="E89">
        <v>1.0923514646152981</v>
      </c>
      <c r="F89">
        <v>8.3726010816463706E-3</v>
      </c>
      <c r="G89">
        <v>-0.17977707053820871</v>
      </c>
      <c r="H89">
        <v>0.41207976012954112</v>
      </c>
      <c r="I89" s="19">
        <f>1/2*BASE限界!$F$4*(BASE限界!$F$5^2)*(B89+B88)/2000*E89*0.1</f>
        <v>3.0689113895160052</v>
      </c>
      <c r="J89" s="19">
        <f>1/2*BASE限界!$F$4*(BASE限界!$F$5^2)*(B89+B88)/2000*F89*0.1</f>
        <v>2.3522439115681235E-2</v>
      </c>
    </row>
    <row r="90" spans="1:10" x14ac:dyDescent="1.1000000000000001">
      <c r="A90">
        <v>8600</v>
      </c>
      <c r="B90">
        <v>578.4</v>
      </c>
      <c r="C90" s="19">
        <f>4*$M$3*10^3*100*0.001*SQRT(1-4*A90^2/(BASE限界!$L$13*BASE限界!$L$13*4))/(PI()*BASE限界!$L$13*2)</f>
        <v>3.2296157936430565</v>
      </c>
      <c r="D90" s="16">
        <v>0.47658546838874472</v>
      </c>
      <c r="E90">
        <v>1.0861162308877299</v>
      </c>
      <c r="F90">
        <v>8.2012111144638394E-3</v>
      </c>
      <c r="G90">
        <v>-0.1804404145157299</v>
      </c>
      <c r="H90">
        <v>0.41373728201789051</v>
      </c>
      <c r="I90" s="19">
        <f>1/2*BASE限界!$F$4*(BASE限界!$F$5^2)*(B90+B89)/2000*E90*0.1</f>
        <v>3.0263823615740097</v>
      </c>
      <c r="J90" s="19">
        <f>1/2*BASE限界!$F$4*(BASE限界!$F$5^2)*(B90+B89)/2000*F90*0.1</f>
        <v>2.2852066799583345E-2</v>
      </c>
    </row>
    <row r="91" spans="1:10" x14ac:dyDescent="1.1000000000000001">
      <c r="A91">
        <v>8700</v>
      </c>
      <c r="B91">
        <v>573.6</v>
      </c>
      <c r="C91" s="19">
        <f>4*$M$3*10^3*100*0.001*SQRT(1-4*A91^2/(BASE限界!$L$13*BASE限界!$L$13*4))/(PI()*BASE限界!$L$13*2)</f>
        <v>3.1667152434924803</v>
      </c>
      <c r="D91" s="16">
        <v>0.49310624588975371</v>
      </c>
      <c r="E91">
        <v>1.0797455107850871</v>
      </c>
      <c r="F91">
        <v>8.0184717580560824E-3</v>
      </c>
      <c r="G91">
        <v>-0.18116037671530949</v>
      </c>
      <c r="H91">
        <v>0.41549333516894588</v>
      </c>
      <c r="I91" s="19">
        <f>1/2*BASE限界!$F$4*(BASE限界!$F$5^2)*(B91+B90)/2000*E91*0.1</f>
        <v>2.9837661047416852</v>
      </c>
      <c r="J91" s="19">
        <f>1/2*BASE限界!$F$4*(BASE限界!$F$5^2)*(B91+B90)/2000*F91*0.1</f>
        <v>2.2158225252652427E-2</v>
      </c>
    </row>
    <row r="92" spans="1:10" x14ac:dyDescent="1.1000000000000001">
      <c r="A92">
        <v>8800</v>
      </c>
      <c r="B92">
        <v>568.79999999999995</v>
      </c>
      <c r="C92" s="19">
        <f>4*$M$3*10^3*100*0.001*SQRT(1-4*A92^2/(BASE限界!$L$13*BASE限界!$L$13*4))/(PI()*BASE限界!$L$13*2)</f>
        <v>3.1017900390941713</v>
      </c>
      <c r="D92" s="16">
        <v>0.51328837021590845</v>
      </c>
      <c r="E92">
        <v>1.073199717898164</v>
      </c>
      <c r="F92">
        <v>7.8267251946996831E-3</v>
      </c>
      <c r="G92">
        <v>-0.1819290760756036</v>
      </c>
      <c r="H92">
        <v>0.41733378656568232</v>
      </c>
      <c r="I92" s="19">
        <f>1/2*BASE限界!$F$4*(BASE限界!$F$5^2)*(B92+B91)/2000*E92*0.1</f>
        <v>2.9409634977087737</v>
      </c>
      <c r="J92" s="19">
        <f>1/2*BASE限界!$F$4*(BASE限界!$F$5^2)*(B92+B91)/2000*F92*0.1</f>
        <v>2.1448116991019891E-2</v>
      </c>
    </row>
    <row r="93" spans="1:10" x14ac:dyDescent="1.1000000000000001">
      <c r="A93">
        <v>8900</v>
      </c>
      <c r="B93">
        <v>564</v>
      </c>
      <c r="C93" s="19">
        <f>4*$M$3*10^3*100*0.001*SQRT(1-4*A93^2/(BASE限界!$L$13*BASE限界!$L$13*4))/(PI()*BASE限界!$L$13*2)</f>
        <v>3.0347102356431357</v>
      </c>
      <c r="D93" s="16">
        <v>0.537876211712918</v>
      </c>
      <c r="E93">
        <v>1.0663669661494659</v>
      </c>
      <c r="F93">
        <v>7.6085873827000964E-3</v>
      </c>
      <c r="G93">
        <v>-0.18282003639010139</v>
      </c>
      <c r="H93">
        <v>0.41935582520362868</v>
      </c>
      <c r="I93" s="19">
        <f>1/2*BASE限界!$F$4*(BASE限界!$F$5^2)*(B93+B92)/2000*E93*0.1</f>
        <v>2.8976826027500842</v>
      </c>
      <c r="J93" s="19">
        <f>1/2*BASE限界!$F$4*(BASE限界!$F$5^2)*(B93+B92)/2000*F93*0.1</f>
        <v>2.0675125909014366E-2</v>
      </c>
    </row>
    <row r="94" spans="1:10" x14ac:dyDescent="1.1000000000000001">
      <c r="A94">
        <v>9000</v>
      </c>
      <c r="B94">
        <v>559.20000000000005</v>
      </c>
      <c r="C94" s="19">
        <f>4*$M$3*10^3*100*0.001*SQRT(1-4*A94^2/(BASE限界!$L$13*BASE限界!$L$13*4))/(PI()*BASE限界!$L$13*2)</f>
        <v>2.9653296168297767</v>
      </c>
      <c r="D94" s="16">
        <v>0.56790149771719267</v>
      </c>
      <c r="E94">
        <v>1.059709812325826</v>
      </c>
      <c r="F94">
        <v>7.3587904953417698E-3</v>
      </c>
      <c r="G94">
        <v>-0.18376963801863291</v>
      </c>
      <c r="H94">
        <v>0.42149858721242628</v>
      </c>
      <c r="I94" s="19">
        <f>1/2*BASE限界!$F$4*(BASE限界!$F$5^2)*(B94+B93)/2000*E94*0.1</f>
        <v>2.8551895169875725</v>
      </c>
      <c r="J94" s="19">
        <f>1/2*BASE限界!$F$4*(BASE限界!$F$5^2)*(B94+B93)/2000*F94*0.1</f>
        <v>1.9826882072455036E-2</v>
      </c>
    </row>
    <row r="95" spans="1:10" x14ac:dyDescent="1.1000000000000001">
      <c r="A95">
        <v>9100</v>
      </c>
      <c r="B95">
        <v>554.4</v>
      </c>
      <c r="C95" s="19">
        <f>4*$M$3*10^3*100*0.001*SQRT(1-4*A95^2/(BASE限界!$L$13*BASE限界!$L$13*4))/(PI()*BASE限界!$L$13*2)</f>
        <v>2.8934826788864068</v>
      </c>
      <c r="D95" s="16">
        <v>0.60480598712976097</v>
      </c>
      <c r="E95">
        <v>1.0506859528140271</v>
      </c>
      <c r="F95">
        <v>7.1741130685818054E-3</v>
      </c>
      <c r="G95">
        <v>-0.18445658031073339</v>
      </c>
      <c r="H95">
        <v>0.42370421646105078</v>
      </c>
      <c r="I95" s="19">
        <f>1/2*BASE限界!$F$4*(BASE限界!$F$5^2)*(B95+B94)/2000*E95*0.1</f>
        <v>2.8066808935129561</v>
      </c>
      <c r="J95" s="19">
        <f>1/2*BASE限界!$F$4*(BASE限界!$F$5^2)*(B95+B94)/2000*F95*0.1</f>
        <v>1.916409563063242E-2</v>
      </c>
    </row>
    <row r="96" spans="1:10" x14ac:dyDescent="1.1000000000000001">
      <c r="A96">
        <v>9200</v>
      </c>
      <c r="B96">
        <v>549.6</v>
      </c>
      <c r="C96" s="19">
        <f>4*$M$3*10^3*100*0.001*SQRT(1-4*A96^2/(BASE限界!$L$13*BASE限界!$L$13*4))/(PI()*BASE限界!$L$13*2)</f>
        <v>2.8189808520138433</v>
      </c>
      <c r="D96" s="16">
        <v>0.65081381909008362</v>
      </c>
      <c r="E96">
        <v>1.03805403414129</v>
      </c>
      <c r="F96">
        <v>7.1132152170876074E-3</v>
      </c>
      <c r="G96">
        <v>-0.18457273934672611</v>
      </c>
      <c r="H96">
        <v>0.42611109020089177</v>
      </c>
      <c r="I96" s="19">
        <f>1/2*BASE限界!$F$4*(BASE限界!$F$5^2)*(B96+B95)/2000*E96*0.1</f>
        <v>2.7490328142735581</v>
      </c>
      <c r="J96" s="19">
        <f>1/2*BASE限界!$F$4*(BASE限界!$F$5^2)*(B96+B95)/2000*F96*0.1</f>
        <v>1.8837614809656695E-2</v>
      </c>
    </row>
    <row r="97" spans="1:10" x14ac:dyDescent="1.1000000000000001">
      <c r="A97">
        <v>9300</v>
      </c>
      <c r="B97">
        <v>544.79999999999995</v>
      </c>
      <c r="C97" s="19">
        <f>4*$M$3*10^3*100*0.001*SQRT(1-4*A97^2/(BASE限界!$L$13*BASE限界!$L$13*4))/(PI()*BASE限界!$L$13*2)</f>
        <v>2.7416077088932589</v>
      </c>
      <c r="D97" s="16">
        <v>0.71058171338655385</v>
      </c>
      <c r="E97">
        <v>1.0235759344072271</v>
      </c>
      <c r="F97">
        <v>7.0533287545194957E-3</v>
      </c>
      <c r="G97">
        <v>-0.18470792287974819</v>
      </c>
      <c r="H97">
        <v>0.42889421598111771</v>
      </c>
      <c r="I97" s="19">
        <f>1/2*BASE限界!$F$4*(BASE限界!$F$5^2)*(B97+B96)/2000*E97*0.1</f>
        <v>2.6871198729673633</v>
      </c>
      <c r="J97" s="19">
        <f>1/2*BASE限界!$F$4*(BASE限界!$F$5^2)*(B97+B96)/2000*F97*0.1</f>
        <v>1.851659386444799E-2</v>
      </c>
    </row>
    <row r="98" spans="1:10" x14ac:dyDescent="1.1000000000000001">
      <c r="A98">
        <v>9400</v>
      </c>
      <c r="B98">
        <v>540</v>
      </c>
      <c r="C98" s="19">
        <f>4*$M$3*10^3*100*0.001*SQRT(1-4*A98^2/(BASE限界!$L$13*BASE限界!$L$13*4))/(PI()*BASE限界!$L$13*2)</f>
        <v>2.6611128065796845</v>
      </c>
      <c r="D98" s="16">
        <v>0.76552747173572022</v>
      </c>
      <c r="E98">
        <v>1.0093264506373349</v>
      </c>
      <c r="F98">
        <v>7.0103417584792844E-3</v>
      </c>
      <c r="G98">
        <v>-0.1847</v>
      </c>
      <c r="H98">
        <v>0.43157607690645022</v>
      </c>
      <c r="I98" s="19">
        <f>1/2*BASE限界!$F$4*(BASE限界!$F$5^2)*(B98+B97)/2000*E98*0.1</f>
        <v>2.6264686484013273</v>
      </c>
      <c r="J98" s="19">
        <f>1/2*BASE限界!$F$4*(BASE限界!$F$5^2)*(B98+B97)/2000*F98*0.1</f>
        <v>1.8242306868702401E-2</v>
      </c>
    </row>
    <row r="99" spans="1:10" x14ac:dyDescent="1.1000000000000001">
      <c r="A99">
        <v>9500</v>
      </c>
      <c r="B99">
        <v>530.66666666666663</v>
      </c>
      <c r="C99" s="19">
        <f>4*$M$3*10^3*100*0.001*SQRT(1-4*A99^2/(BASE限界!$L$13*BASE限界!$L$13*4))/(PI()*BASE限界!$L$13*2)</f>
        <v>2.5772036519567258</v>
      </c>
      <c r="D99" s="16">
        <v>0.73730567003490011</v>
      </c>
      <c r="E99">
        <v>0.99578934116439943</v>
      </c>
      <c r="F99">
        <v>7.0167259753979661E-3</v>
      </c>
      <c r="G99">
        <v>-0.1815968796677894</v>
      </c>
      <c r="H99">
        <v>0.4307846107717434</v>
      </c>
      <c r="I99" s="19">
        <f>1/2*BASE限界!$F$4*(BASE限界!$F$5^2)*(B99+B98)/2000*E99*0.1</f>
        <v>2.5574823497534025</v>
      </c>
      <c r="J99" s="19">
        <f>1/2*BASE限界!$F$4*(BASE限界!$F$5^2)*(B99+B98)/2000*F99*0.1</f>
        <v>1.802103325805119E-2</v>
      </c>
    </row>
    <row r="100" spans="1:10" x14ac:dyDescent="1.1000000000000001">
      <c r="A100">
        <v>9600</v>
      </c>
      <c r="B100">
        <v>521.33333333333337</v>
      </c>
      <c r="C100" s="19">
        <f>4*$M$3*10^3*100*0.001*SQRT(1-4*A100^2/(BASE限界!$L$13*BASE限界!$L$13*4))/(PI()*BASE限界!$L$13*2)</f>
        <v>2.4895350394025342</v>
      </c>
      <c r="D100" s="16">
        <v>0.70183745266628039</v>
      </c>
      <c r="E100">
        <v>0.98305032150408633</v>
      </c>
      <c r="F100">
        <v>7.0256114659023976E-3</v>
      </c>
      <c r="G100">
        <v>-0.17849233607955531</v>
      </c>
      <c r="H100">
        <v>0.42983968897759173</v>
      </c>
      <c r="I100" s="19">
        <f>1/2*BASE限界!$F$4*(BASE限界!$F$5^2)*(B100+B99)/2000*E100*0.1</f>
        <v>2.4807464544681257</v>
      </c>
      <c r="J100" s="19">
        <f>1/2*BASE限界!$F$4*(BASE限界!$F$5^2)*(B100+B99)/2000*F100*0.1</f>
        <v>1.772926609478306E-2</v>
      </c>
    </row>
    <row r="101" spans="1:10" x14ac:dyDescent="1.1000000000000001">
      <c r="A101">
        <v>9700</v>
      </c>
      <c r="B101">
        <v>512</v>
      </c>
      <c r="C101" s="19">
        <f>4*$M$3*10^3*100*0.001*SQRT(1-4*A101^2/(BASE限界!$L$13*BASE限界!$L$13*4))/(PI()*BASE限界!$L$13*2)</f>
        <v>2.3976946251772939</v>
      </c>
      <c r="D101" s="16">
        <v>0.6846334033777427</v>
      </c>
      <c r="E101">
        <v>0.96835807919993255</v>
      </c>
      <c r="F101">
        <v>7.0251442962097968E-3</v>
      </c>
      <c r="G101">
        <v>-0.17540463340337781</v>
      </c>
      <c r="H101">
        <v>0.42929347153397263</v>
      </c>
      <c r="I101" s="19">
        <f>1/2*BASE限界!$F$4*(BASE限界!$F$5^2)*(B101+B100)/2000*E101*0.1</f>
        <v>2.4003098613193612</v>
      </c>
      <c r="J101" s="19">
        <f>1/2*BASE限界!$F$4*(BASE限界!$F$5^2)*(B101+B100)/2000*F101*0.1</f>
        <v>1.7413520363578554E-2</v>
      </c>
    </row>
    <row r="102" spans="1:10" x14ac:dyDescent="1.1000000000000001">
      <c r="A102">
        <v>9800</v>
      </c>
      <c r="B102">
        <v>502.66666666666669</v>
      </c>
      <c r="C102" s="19">
        <f>4*$M$3*10^3*100*0.001*SQRT(1-4*A102^2/(BASE限界!$L$13*BASE限界!$L$13*4))/(PI()*BASE限界!$L$13*2)</f>
        <v>2.3011829725670232</v>
      </c>
      <c r="D102" s="16">
        <v>0.68102766638303924</v>
      </c>
      <c r="E102">
        <v>0.952283513563152</v>
      </c>
      <c r="F102">
        <v>7.0150074668179343E-3</v>
      </c>
      <c r="G102">
        <v>-0.17234581466628851</v>
      </c>
      <c r="H102">
        <v>0.42906934559349552</v>
      </c>
      <c r="I102" s="19">
        <f>1/2*BASE限界!$F$4*(BASE限界!$F$5^2)*(B102+B101)/2000*E102*0.1</f>
        <v>2.317824499066985</v>
      </c>
      <c r="J102" s="19">
        <f>1/2*BASE限界!$F$4*(BASE限界!$F$5^2)*(B102+B101)/2000*F102*0.1</f>
        <v>1.7074280858743612E-2</v>
      </c>
    </row>
    <row r="103" spans="1:10" x14ac:dyDescent="1.1000000000000001">
      <c r="A103">
        <v>9900</v>
      </c>
      <c r="B103">
        <v>493.33333333333331</v>
      </c>
      <c r="C103" s="19">
        <f>4*$M$3*10^3*100*0.001*SQRT(1-4*A103^2/(BASE限界!$L$13*BASE限界!$L$13*4))/(PI()*BASE限界!$L$13*2)</f>
        <v>2.1993852289442004</v>
      </c>
      <c r="D103" s="16">
        <v>0.69235034144636765</v>
      </c>
      <c r="E103">
        <v>0.93474857015894874</v>
      </c>
      <c r="F103">
        <v>6.991939511663629E-3</v>
      </c>
      <c r="G103">
        <v>-0.16933169501352169</v>
      </c>
      <c r="H103">
        <v>0.42921722735461859</v>
      </c>
      <c r="I103" s="19">
        <f>1/2*BASE限界!$F$4*(BASE限界!$F$5^2)*(B103+B102)/2000*E103*0.1</f>
        <v>2.2332895710502774</v>
      </c>
      <c r="J103" s="19">
        <f>1/2*BASE限界!$F$4*(BASE限界!$F$5^2)*(B103+B102)/2000*F103*0.1</f>
        <v>1.6705054269467886E-2</v>
      </c>
    </row>
    <row r="104" spans="1:10" x14ac:dyDescent="1.1000000000000001">
      <c r="A104">
        <v>10000</v>
      </c>
      <c r="B104">
        <v>484</v>
      </c>
      <c r="C104" s="19">
        <f>4*$M$3*10^3*100*0.001*SQRT(1-4*A104^2/(BASE限界!$L$13*BASE限界!$L$13*4))/(PI()*BASE限界!$L$13*2)</f>
        <v>2.0915296918286099</v>
      </c>
      <c r="D104" s="16">
        <v>0.71993046121519333</v>
      </c>
      <c r="E104">
        <v>0.9157070234172654</v>
      </c>
      <c r="F104">
        <v>6.9488528494764529E-3</v>
      </c>
      <c r="G104">
        <v>-0.16639181919915949</v>
      </c>
      <c r="H104">
        <v>0.42977833106916458</v>
      </c>
      <c r="I104" s="19">
        <f>1/2*BASE限界!$F$4*(BASE限界!$F$5^2)*(B104+B103)/2000*E104*0.1</f>
        <v>2.1467928807831167</v>
      </c>
      <c r="J104" s="19">
        <f>1/2*BASE限界!$F$4*(BASE限界!$F$5^2)*(B104+B103)/2000*F104*0.1</f>
        <v>1.6290961459698088E-2</v>
      </c>
    </row>
    <row r="105" spans="1:10" x14ac:dyDescent="1.1000000000000001">
      <c r="A105">
        <v>10100</v>
      </c>
      <c r="B105">
        <v>474.66666666666657</v>
      </c>
      <c r="C105" s="19">
        <f>4*$M$3*10^3*100*0.001*SQRT(1-4*A105^2/(BASE限界!$L$13*BASE限界!$L$13*4))/(PI()*BASE限界!$L$13*2)</f>
        <v>1.9766249701803928</v>
      </c>
      <c r="D105" s="16">
        <v>0.768456362432832</v>
      </c>
      <c r="E105">
        <v>0.8948329468642976</v>
      </c>
      <c r="F105">
        <v>6.8741267850980798E-3</v>
      </c>
      <c r="G105">
        <v>-0.16357251300616951</v>
      </c>
      <c r="H105">
        <v>0.43091117043471872</v>
      </c>
      <c r="I105" s="19">
        <f>1/2*BASE限界!$F$4*(BASE限界!$F$5^2)*(B105+B104)/2000*E105*0.1</f>
        <v>2.057787301793883</v>
      </c>
      <c r="J105" s="19">
        <f>1/2*BASE限界!$F$4*(BASE限界!$F$5^2)*(B105+B104)/2000*F105*0.1</f>
        <v>1.5807968245766007E-2</v>
      </c>
    </row>
    <row r="106" spans="1:10" x14ac:dyDescent="1.1000000000000001">
      <c r="A106">
        <v>10200</v>
      </c>
      <c r="B106">
        <v>465.33333333333331</v>
      </c>
      <c r="C106" s="19">
        <f>4*$M$3*10^3*100*0.001*SQRT(1-4*A106^2/(BASE限界!$L$13*BASE限界!$L$13*4))/(PI()*BASE限界!$L$13*2)</f>
        <v>1.8533604204573408</v>
      </c>
      <c r="D106" s="16">
        <v>0.84240088878708763</v>
      </c>
      <c r="E106">
        <v>0.87190317340378398</v>
      </c>
      <c r="F106">
        <v>6.7458859496608492E-3</v>
      </c>
      <c r="G106">
        <v>-0.16091150269624199</v>
      </c>
      <c r="H106">
        <v>0.43278363211585807</v>
      </c>
      <c r="I106" s="19">
        <f>1/2*BASE限界!$F$4*(BASE限界!$F$5^2)*(B106+B105)/2000*E106*0.1</f>
        <v>1.966015791571033</v>
      </c>
      <c r="J106" s="19">
        <f>1/2*BASE限界!$F$4*(BASE限界!$F$5^2)*(B106+B105)/2000*F106*0.1</f>
        <v>1.5210999007373067E-2</v>
      </c>
    </row>
    <row r="107" spans="1:10" x14ac:dyDescent="1.1000000000000001">
      <c r="A107">
        <v>10300</v>
      </c>
      <c r="B107">
        <v>456</v>
      </c>
      <c r="C107" s="19">
        <f>4*$M$3*10^3*100*0.001*SQRT(1-4*A107^2/(BASE限界!$L$13*BASE限界!$L$13*4))/(PI()*BASE限界!$L$13*2)</f>
        <v>1.7199395855471777</v>
      </c>
      <c r="D107" s="16">
        <v>0.95187822881338069</v>
      </c>
      <c r="E107">
        <v>0.84367851143561334</v>
      </c>
      <c r="F107">
        <v>6.6836243542373244E-3</v>
      </c>
      <c r="G107">
        <v>-0.15798000000000001</v>
      </c>
      <c r="H107">
        <v>0.43569770701185989</v>
      </c>
      <c r="I107" s="19">
        <f>1/2*BASE限界!$F$4*(BASE限界!$F$5^2)*(B107+B106)/2000*E107*0.1</f>
        <v>1.8645956283452325</v>
      </c>
      <c r="J107" s="19">
        <f>1/2*BASE限界!$F$4*(BASE限界!$F$5^2)*(B107+B106)/2000*F107*0.1</f>
        <v>1.477133361048478E-2</v>
      </c>
    </row>
    <row r="108" spans="1:10" x14ac:dyDescent="1.1000000000000001">
      <c r="A108">
        <v>10400</v>
      </c>
      <c r="B108">
        <v>446.66666666666657</v>
      </c>
      <c r="C108" s="19">
        <f>4*$M$3*10^3*100*0.001*SQRT(1-4*A108^2/(BASE限界!$L$13*BASE限界!$L$13*4))/(PI()*BASE限界!$L$13*2)</f>
        <v>1.5737815166610005</v>
      </c>
      <c r="D108" s="16">
        <v>1.1135423485186671</v>
      </c>
      <c r="E108">
        <v>0.80941867317800797</v>
      </c>
      <c r="F108">
        <v>6.6206248636296004E-3</v>
      </c>
      <c r="G108">
        <v>-0.15501562522728399</v>
      </c>
      <c r="H108">
        <v>0.44023022719790528</v>
      </c>
      <c r="I108" s="19">
        <f>1/2*BASE限界!$F$4*(BASE限界!$F$5^2)*(B108+B107)/2000*E108*0.1</f>
        <v>1.7526351382126018</v>
      </c>
      <c r="J108" s="19">
        <f>1/2*BASE限界!$F$4*(BASE限界!$F$5^2)*(B108+B107)/2000*F108*0.1</f>
        <v>1.4335646257532524E-2</v>
      </c>
    </row>
    <row r="109" spans="1:10" x14ac:dyDescent="1.1000000000000001">
      <c r="A109">
        <v>10500</v>
      </c>
      <c r="B109">
        <v>437.33333333333331</v>
      </c>
      <c r="C109" s="19">
        <f>4*$M$3*10^3*100*0.001*SQRT(1-4*A109^2/(BASE限界!$L$13*BASE限界!$L$13*4))/(PI()*BASE限界!$L$13*2)</f>
        <v>1.4109334147551436</v>
      </c>
      <c r="D109" s="16">
        <v>1.3553133248718221</v>
      </c>
      <c r="E109">
        <v>0.76596571294994575</v>
      </c>
      <c r="F109">
        <v>6.5421901347999956E-3</v>
      </c>
      <c r="G109">
        <v>-0.15204666666666669</v>
      </c>
      <c r="H109">
        <v>0.4476015250761034</v>
      </c>
      <c r="I109" s="19">
        <f>1/2*BASE限界!$F$4*(BASE限界!$F$5^2)*(B109+B108)/2000*E109*0.1</f>
        <v>1.6242485383880974</v>
      </c>
      <c r="J109" s="19">
        <f>1/2*BASE限界!$F$4*(BASE限界!$F$5^2)*(B109+B108)/2000*F109*0.1</f>
        <v>1.3872870005344899E-2</v>
      </c>
    </row>
    <row r="110" spans="1:10" x14ac:dyDescent="1.1000000000000001">
      <c r="A110">
        <v>10600</v>
      </c>
      <c r="B110">
        <v>428</v>
      </c>
      <c r="C110" s="19">
        <f>4*$M$3*10^3*100*0.001*SQRT(1-4*A110^2/(BASE限界!$L$13*BASE限界!$L$13*4))/(PI()*BASE限界!$L$13*2)</f>
        <v>1.2247557691224149</v>
      </c>
      <c r="D110" s="16">
        <v>1.725831204221578</v>
      </c>
      <c r="E110">
        <v>0.7079262401638059</v>
      </c>
      <c r="F110">
        <v>6.4614168795778422E-3</v>
      </c>
      <c r="G110">
        <v>-0.14906</v>
      </c>
      <c r="H110">
        <v>0.46023442462944392</v>
      </c>
      <c r="I110" s="19">
        <f>1/2*BASE限界!$F$4*(BASE限界!$F$5^2)*(B110+B109)/2000*E110*0.1</f>
        <v>1.4694754458605932</v>
      </c>
      <c r="J110" s="19">
        <f>1/2*BASE限界!$F$4*(BASE限界!$F$5^2)*(B110+B109)/2000*F110*0.1</f>
        <v>1.3412263751957837E-2</v>
      </c>
    </row>
    <row r="111" spans="1:10" x14ac:dyDescent="1.1000000000000001">
      <c r="A111">
        <v>10700</v>
      </c>
      <c r="B111">
        <v>418.66666666666657</v>
      </c>
      <c r="C111" s="19">
        <f>4*$M$3*10^3*100*0.001*SQRT(1-4*A111^2/(BASE限界!$L$13*BASE限界!$L$13*4))/(PI()*BASE限界!$L$13*2)</f>
        <v>1.0023318021303524</v>
      </c>
      <c r="D111" s="16">
        <v>2.3493421550401492</v>
      </c>
      <c r="E111">
        <v>0.62085935105720624</v>
      </c>
      <c r="F111">
        <v>6.3710657844959833E-3</v>
      </c>
      <c r="G111">
        <v>-0.14607333333333331</v>
      </c>
      <c r="H111">
        <v>0.48483883234734088</v>
      </c>
      <c r="I111" s="19">
        <f>1/2*BASE限界!$F$4*(BASE限界!$F$5^2)*(B111+B110)/2000*E111*0.1</f>
        <v>1.260946261747609</v>
      </c>
      <c r="J111" s="19">
        <f>1/2*BASE限界!$F$4*(BASE限界!$F$5^2)*(B111+B110)/2000*F111*0.1</f>
        <v>1.2939438812717653E-2</v>
      </c>
    </row>
    <row r="112" spans="1:10" x14ac:dyDescent="1.1000000000000001">
      <c r="A112">
        <v>10800</v>
      </c>
      <c r="B112">
        <v>409.33333333333331</v>
      </c>
      <c r="C112" s="19">
        <f>4*$M$3*10^3*100*0.001*SQRT(1-4*A112^2/(BASE限界!$L$13*BASE限界!$L$13*4))/(PI()*BASE限界!$L$13*2)</f>
        <v>0.71039435777765925</v>
      </c>
      <c r="D112" s="16">
        <v>3.560596816304423</v>
      </c>
      <c r="E112">
        <v>0.60639333333333345</v>
      </c>
      <c r="F112">
        <v>6.3446666666666651E-3</v>
      </c>
      <c r="G112">
        <v>-0.1430866666666667</v>
      </c>
      <c r="H112">
        <v>0.48540666666666671</v>
      </c>
      <c r="I112" s="19">
        <f>1/2*BASE限界!$F$4*(BASE限界!$F$5^2)*(B112+B111)/2000*E112*0.1</f>
        <v>1.2044135831539684</v>
      </c>
      <c r="J112" s="19">
        <f>1/2*BASE限界!$F$4*(BASE限界!$F$5^2)*(B112+B111)/2000*F112*0.1</f>
        <v>1.2601726130318397E-2</v>
      </c>
    </row>
    <row r="113" spans="1:10" x14ac:dyDescent="1.1000000000000001">
      <c r="A113">
        <v>10900</v>
      </c>
      <c r="B113">
        <v>400</v>
      </c>
      <c r="C113" s="19">
        <f>4*$M$3*10^3*100*0.001*SQRT(1-4*A113^2/(BASE限界!$L$13*BASE限界!$L$13*4))/(PI()*BASE限界!$L$13*2)</f>
        <v>0</v>
      </c>
      <c r="D113" s="16">
        <v>8.7668035540658433</v>
      </c>
      <c r="E113">
        <v>0.59390000000000009</v>
      </c>
      <c r="F113">
        <v>6.3199999999999984E-3</v>
      </c>
      <c r="G113">
        <v>-0.1401</v>
      </c>
      <c r="H113">
        <v>0.48530000000000001</v>
      </c>
      <c r="I113" s="19">
        <f>1/2*BASE限界!$F$4*(BASE限界!$F$5^2)*(B113+B112)/2000*E113*0.1</f>
        <v>1.1530062007826403</v>
      </c>
      <c r="J113" s="19">
        <f>1/2*BASE限界!$F$4*(BASE限界!$F$5^2)*(B113+B112)/2000*F113*0.1</f>
        <v>1.2269741015231997E-2</v>
      </c>
    </row>
    <row r="114" spans="1:10" x14ac:dyDescent="1.1000000000000001">
      <c r="A114">
        <v>11000</v>
      </c>
      <c r="C114" s="19" t="e">
        <f>4*$M$3*10^3*100*0.001*SQRT(1-4*A114^2/(BASE限界!$L$13*BASE限界!$L$13*4))/(PI()*BASE限界!$L$13*2)</f>
        <v>#NUM!</v>
      </c>
      <c r="D114" s="16"/>
      <c r="I114" s="19"/>
      <c r="J114" s="19">
        <f>1/2*BASE限界!$F$4*(BASE限界!$F$5^2)*(B114+B113)/2000*F114*0.1</f>
        <v>0</v>
      </c>
    </row>
    <row r="115" spans="1:10" x14ac:dyDescent="1.1000000000000001">
      <c r="A115">
        <v>11100</v>
      </c>
      <c r="C115" s="19" t="e">
        <f>4*$M$3*10^3*100*0.001*SQRT(1-4*A115^2/(BASE限界!$L$13*BASE限界!$L$13*4))/(PI()*BASE限界!$L$13*2)</f>
        <v>#NUM!</v>
      </c>
      <c r="D115" s="16"/>
      <c r="I115" s="19"/>
      <c r="J115" s="19">
        <f>1/2*BASE限界!$F$4*(BASE限界!$F$5^2)*(B115+B114)/2000*F115*0.1</f>
        <v>0</v>
      </c>
    </row>
    <row r="116" spans="1:10" x14ac:dyDescent="1.1000000000000001">
      <c r="A116">
        <v>11200</v>
      </c>
      <c r="C116" s="19" t="e">
        <f>4*$M$3*10^3*100*0.001*SQRT(1-4*A116^2/(BASE限界!$L$13*BASE限界!$L$13*4))/(PI()*BASE限界!$L$13*2)</f>
        <v>#NUM!</v>
      </c>
      <c r="D116" s="16"/>
      <c r="I116" s="19"/>
      <c r="J116" s="19">
        <f>1/2*BASE限界!$F$4*(BASE限界!$F$5^2)*(B116+B115)/2000*F116*0.1</f>
        <v>0</v>
      </c>
    </row>
    <row r="117" spans="1:10" x14ac:dyDescent="1.1000000000000001">
      <c r="A117">
        <v>11300</v>
      </c>
      <c r="C117" s="19" t="e">
        <f>4*$M$3*10^3*100*0.001*SQRT(1-4*A117^2/(BASE限界!$L$13*BASE限界!$L$13*4))/(PI()*BASE限界!$L$13*2)</f>
        <v>#NUM!</v>
      </c>
      <c r="D117" s="16"/>
      <c r="I117" s="19"/>
      <c r="J117" s="19">
        <f>1/2*BASE限界!$F$4*(BASE限界!$F$5^2)*(B117+B116)/2000*F117*0.1</f>
        <v>0</v>
      </c>
    </row>
    <row r="118" spans="1:10" x14ac:dyDescent="1.1000000000000001">
      <c r="A118">
        <v>11400</v>
      </c>
      <c r="C118" s="19" t="e">
        <f>4*$M$3*10^3*100*0.001*SQRT(1-4*A118^2/(BASE限界!$L$13*BASE限界!$L$13*4))/(PI()*BASE限界!$L$13*2)</f>
        <v>#NUM!</v>
      </c>
      <c r="D118" s="16"/>
      <c r="I118" s="19"/>
      <c r="J118" s="19">
        <f>1/2*BASE限界!$F$4*(BASE限界!$F$5^2)*(B118+B117)/2000*F118*0.1</f>
        <v>0</v>
      </c>
    </row>
    <row r="119" spans="1:10" x14ac:dyDescent="1.1000000000000001">
      <c r="A119">
        <v>11500</v>
      </c>
      <c r="C119" s="19" t="e">
        <f>4*$M$3*10^3*100*0.001*SQRT(1-4*A119^2/(BASE限界!$L$13*BASE限界!$L$13*4))/(PI()*BASE限界!$L$13*2)</f>
        <v>#NUM!</v>
      </c>
      <c r="D119" s="16"/>
      <c r="I119" s="19"/>
      <c r="J119" s="19">
        <f>1/2*BASE限界!$F$4*(BASE限界!$F$5^2)*(B119+B118)/2000*F119*0.1</f>
        <v>0</v>
      </c>
    </row>
    <row r="120" spans="1:10" x14ac:dyDescent="1.1000000000000001">
      <c r="A120">
        <v>11600</v>
      </c>
      <c r="C120" s="19" t="e">
        <f>4*$M$3*10^3*100*0.001*SQRT(1-4*A120^2/(BASE限界!$L$13*BASE限界!$L$13*4))/(PI()*BASE限界!$L$13*2)</f>
        <v>#NUM!</v>
      </c>
      <c r="D120" s="16"/>
      <c r="I120" s="19"/>
      <c r="J120" s="19">
        <f>1/2*BASE限界!$F$4*(BASE限界!$F$5^2)*(B120+B119)/2000*F120*0.1</f>
        <v>0</v>
      </c>
    </row>
    <row r="121" spans="1:10" x14ac:dyDescent="1.1000000000000001">
      <c r="A121">
        <v>11700</v>
      </c>
      <c r="C121" s="19" t="e">
        <f>4*$M$3*10^3*100*0.001*SQRT(1-4*A121^2/(BASE限界!$L$13*BASE限界!$L$13*4))/(PI()*BASE限界!$L$13*2)</f>
        <v>#NUM!</v>
      </c>
      <c r="D121" s="16"/>
      <c r="I121" s="19"/>
      <c r="J121" s="19">
        <f>1/2*BASE限界!$F$4*(BASE限界!$F$5^2)*(B121+B120)/2000*F121*0.1</f>
        <v>0</v>
      </c>
    </row>
    <row r="122" spans="1:10" x14ac:dyDescent="1.1000000000000001">
      <c r="A122">
        <v>11800</v>
      </c>
      <c r="C122" s="19" t="e">
        <f>4*$M$3*10^3*100*0.001*SQRT(1-4*A122^2/(BASE限界!$L$13*BASE限界!$L$13*4))/(PI()*BASE限界!$L$13*2)</f>
        <v>#NUM!</v>
      </c>
      <c r="D122" s="16"/>
      <c r="I122" s="19"/>
      <c r="J122" s="19">
        <f>1/2*BASE限界!$F$4*(BASE限界!$F$5^2)*(B122+B121)/2000*F122*0.1</f>
        <v>0</v>
      </c>
    </row>
    <row r="123" spans="1:10" x14ac:dyDescent="1.1000000000000001">
      <c r="A123">
        <v>11900</v>
      </c>
      <c r="C123" s="19" t="e">
        <f>4*$M$3*10^3*100*0.001*SQRT(1-4*A123^2/(BASE限界!$L$13*BASE限界!$L$13*4))/(PI()*BASE限界!$L$13*2)</f>
        <v>#NUM!</v>
      </c>
      <c r="D123" s="16"/>
      <c r="I123" s="19"/>
      <c r="J123" s="19">
        <f>1/2*BASE限界!$F$4*(BASE限界!$F$5^2)*(B123+B122)/2000*F123*0.1</f>
        <v>0</v>
      </c>
    </row>
    <row r="124" spans="1:10" x14ac:dyDescent="1.1000000000000001">
      <c r="A124">
        <v>12000</v>
      </c>
      <c r="C124" s="19" t="e">
        <f>4*$M$3*10^3*100*0.001*SQRT(1-4*A124^2/(BASE限界!$L$13*BASE限界!$L$13*4))/(PI()*BASE限界!$L$13*2)</f>
        <v>#NUM!</v>
      </c>
      <c r="D124" s="16"/>
      <c r="I124" s="19"/>
      <c r="J124" s="19">
        <f>1/2*BASE限界!$F$4*(BASE限界!$F$5^2)*(B124+B123)/2000*F124*0.1</f>
        <v>0</v>
      </c>
    </row>
    <row r="125" spans="1:10" x14ac:dyDescent="1.1000000000000001">
      <c r="A125">
        <v>12100</v>
      </c>
      <c r="C125" s="19" t="e">
        <f>4*$M$3*10^3*100*0.001*SQRT(1-4*A125^2/(BASE限界!$L$13*BASE限界!$L$13*4))/(PI()*BASE限界!$L$13*2)</f>
        <v>#NUM!</v>
      </c>
      <c r="D125" s="16"/>
      <c r="I125" s="19"/>
      <c r="J125" s="19">
        <f>1/2*BASE限界!$F$4*(BASE限界!$F$5^2)*(B125+B124)/2000*F125*0.1</f>
        <v>0</v>
      </c>
    </row>
    <row r="126" spans="1:10" x14ac:dyDescent="1.1000000000000001">
      <c r="A126">
        <v>12200</v>
      </c>
      <c r="C126" s="19" t="e">
        <f>4*$M$3*10^3*100*0.001*SQRT(1-4*A126^2/(BASE限界!$L$13*BASE限界!$L$13*4))/(PI()*BASE限界!$L$13*2)</f>
        <v>#NUM!</v>
      </c>
      <c r="D126" s="16"/>
      <c r="I126" s="19"/>
      <c r="J126" s="19">
        <f>1/2*BASE限界!$F$4*(BASE限界!$F$5^2)*(B126+B125)/2000*F126*0.1</f>
        <v>0</v>
      </c>
    </row>
    <row r="127" spans="1:10" x14ac:dyDescent="1.1000000000000001">
      <c r="A127">
        <v>12300</v>
      </c>
      <c r="C127" s="19" t="e">
        <f>4*$M$3*10^3*100*0.001*SQRT(1-4*A127^2/(BASE限界!$L$13*BASE限界!$L$13*4))/(PI()*BASE限界!$L$13*2)</f>
        <v>#NUM!</v>
      </c>
      <c r="D127" s="16"/>
      <c r="I127" s="19"/>
      <c r="J127" s="19">
        <f>1/2*BASE限界!$F$4*(BASE限界!$F$5^2)*(B127+B126)/2000*F127*0.1</f>
        <v>0</v>
      </c>
    </row>
    <row r="128" spans="1:10" x14ac:dyDescent="1.1000000000000001">
      <c r="A128">
        <v>12400</v>
      </c>
      <c r="C128" s="19" t="e">
        <f>4*$M$3*10^3*100*0.001*SQRT(1-4*A128^2/(BASE限界!$L$13*BASE限界!$L$13*4))/(PI()*BASE限界!$L$13*2)</f>
        <v>#NUM!</v>
      </c>
      <c r="D128" s="16"/>
      <c r="I128" s="19"/>
      <c r="J128" s="19">
        <f>1/2*BASE限界!$F$4*(BASE限界!$F$5^2)*(B128+B127)/2000*F128*0.1</f>
        <v>0</v>
      </c>
    </row>
    <row r="129" spans="1:10" x14ac:dyDescent="1.1000000000000001">
      <c r="A129">
        <v>12500</v>
      </c>
      <c r="C129" s="19" t="e">
        <f>4*$M$3*10^3*100*0.001*SQRT(1-4*A129^2/(BASE限界!$L$13*BASE限界!$L$13*4))/(PI()*BASE限界!$L$13*2)</f>
        <v>#NUM!</v>
      </c>
      <c r="D129" s="16"/>
      <c r="I129" s="19"/>
      <c r="J129" s="19">
        <f>1/2*BASE限界!$F$4*(BASE限界!$F$5^2)*(B129+B128)/2000*F129*0.1</f>
        <v>0</v>
      </c>
    </row>
    <row r="130" spans="1:10" x14ac:dyDescent="1.1000000000000001">
      <c r="A130">
        <v>12600</v>
      </c>
      <c r="C130" s="19" t="e">
        <f>4*$M$3*10^3*100*0.001*SQRT(1-4*A130^2/(BASE限界!$L$13*BASE限界!$L$13*4))/(PI()*BASE限界!$L$13*2)</f>
        <v>#NUM!</v>
      </c>
      <c r="D130" s="16"/>
      <c r="I130" s="19"/>
      <c r="J130" s="19">
        <f>1/2*BASE限界!$F$4*(BASE限界!$F$5^2)*(B130+B129)/2000*F130*0.1</f>
        <v>0</v>
      </c>
    </row>
    <row r="131" spans="1:10" x14ac:dyDescent="1.1000000000000001">
      <c r="A131">
        <v>12700</v>
      </c>
      <c r="C131" s="19" t="e">
        <f>4*$M$3*10^3*100*0.001*SQRT(1-4*A131^2/(BASE限界!$L$13*BASE限界!$L$13*4))/(PI()*BASE限界!$L$13*2)</f>
        <v>#NUM!</v>
      </c>
      <c r="D131" s="16"/>
      <c r="I131" s="19"/>
      <c r="J131" s="19">
        <f>1/2*BASE限界!$F$4*(BASE限界!$F$5^2)*(B131+B130)/2000*F131*0.1</f>
        <v>0</v>
      </c>
    </row>
    <row r="132" spans="1:10" x14ac:dyDescent="1.1000000000000001">
      <c r="A132">
        <v>12800</v>
      </c>
      <c r="C132" s="19" t="e">
        <f>4*$M$3*10^3*100*0.001*SQRT(1-4*A132^2/(BASE限界!$L$13*BASE限界!$L$13*4))/(PI()*BASE限界!$L$13*2)</f>
        <v>#NUM!</v>
      </c>
      <c r="D132" s="16"/>
      <c r="I132" s="19"/>
      <c r="J132" s="19">
        <f>1/2*BASE限界!$F$4*(BASE限界!$F$5^2)*(B132+B131)/2000*F132*0.1</f>
        <v>0</v>
      </c>
    </row>
    <row r="133" spans="1:10" x14ac:dyDescent="1.1000000000000001">
      <c r="A133">
        <v>12900</v>
      </c>
      <c r="C133" s="19" t="e">
        <f>4*$M$3*10^3*100*0.001*SQRT(1-4*A133^2/(BASE限界!$L$13*BASE限界!$L$13*4))/(PI()*BASE限界!$L$13*2)</f>
        <v>#NUM!</v>
      </c>
      <c r="D133" s="16"/>
      <c r="I133" s="19"/>
      <c r="J133" s="19">
        <f>1/2*BASE限界!$F$4*(BASE限界!$F$5^2)*(B133+B132)/2000*F133*0.1</f>
        <v>0</v>
      </c>
    </row>
    <row r="134" spans="1:10" x14ac:dyDescent="1.1000000000000001">
      <c r="A134">
        <v>13000</v>
      </c>
      <c r="C134" s="19" t="e">
        <f>4*$M$3*10^3*100*0.001*SQRT(1-4*A134^2/(BASE限界!$L$13*BASE限界!$L$13*4))/(PI()*BASE限界!$L$13*2)</f>
        <v>#NUM!</v>
      </c>
      <c r="D134" s="16"/>
      <c r="I134" s="19"/>
      <c r="J134" s="19">
        <f>1/2*BASE限界!$F$4*(BASE限界!$F$5^2)*(B134+B133)/2000*F134*0.1</f>
        <v>0</v>
      </c>
    </row>
    <row r="135" spans="1:10" x14ac:dyDescent="1.1000000000000001">
      <c r="A135">
        <v>13100</v>
      </c>
      <c r="C135" s="19" t="e">
        <f>4*$M$3*10^3*100*0.001*SQRT(1-4*A135^2/(BASE限界!$L$13*BASE限界!$L$13*4))/(PI()*BASE限界!$L$13*2)</f>
        <v>#NUM!</v>
      </c>
      <c r="D135" s="16"/>
      <c r="I135" s="19"/>
      <c r="J135" s="19">
        <f>1/2*BASE限界!$F$4*(BASE限界!$F$5^2)*(B135+B134)/2000*F135*0.1</f>
        <v>0</v>
      </c>
    </row>
    <row r="136" spans="1:10" x14ac:dyDescent="1.1000000000000001">
      <c r="A136">
        <v>13200</v>
      </c>
      <c r="C136" s="19" t="e">
        <f>4*$M$3*10^3*100*0.001*SQRT(1-4*A136^2/(BASE限界!$L$13*BASE限界!$L$13*4))/(PI()*BASE限界!$L$13*2)</f>
        <v>#NUM!</v>
      </c>
      <c r="D136" s="16"/>
      <c r="I136" s="19"/>
      <c r="J136" s="19">
        <f>1/2*BASE限界!$F$4*(BASE限界!$F$5^2)*(B136+B135)/2000*F136*0.1</f>
        <v>0</v>
      </c>
    </row>
    <row r="137" spans="1:10" x14ac:dyDescent="1.1000000000000001">
      <c r="A137">
        <v>13300</v>
      </c>
      <c r="C137" s="19" t="e">
        <f>4*$M$3*10^3*100*0.001*SQRT(1-4*A137^2/(BASE限界!$L$13*BASE限界!$L$13*4))/(PI()*BASE限界!$L$13*2)</f>
        <v>#NUM!</v>
      </c>
      <c r="D137" s="16"/>
      <c r="I137" s="19"/>
      <c r="J137" s="19">
        <f>1/2*BASE限界!$F$4*(BASE限界!$F$5^2)*(B137+B136)/2000*F137*0.1</f>
        <v>0</v>
      </c>
    </row>
    <row r="138" spans="1:10" x14ac:dyDescent="1.1000000000000001">
      <c r="A138">
        <v>13400</v>
      </c>
      <c r="C138" s="19" t="e">
        <f>4*$M$3*10^3*100*0.001*SQRT(1-4*A138^2/(BASE限界!$L$13*BASE限界!$L$13*4))/(PI()*BASE限界!$L$13*2)</f>
        <v>#NUM!</v>
      </c>
      <c r="D138" s="16"/>
      <c r="I138" s="19"/>
      <c r="J138" s="19">
        <f>1/2*BASE限界!$F$4*(BASE限界!$F$5^2)*(B138+B137)/2000*F138*0.1</f>
        <v>0</v>
      </c>
    </row>
    <row r="139" spans="1:10" x14ac:dyDescent="1.1000000000000001">
      <c r="A139">
        <v>13500</v>
      </c>
      <c r="C139" s="19" t="e">
        <f>4*$M$3*10^3*100*0.001*SQRT(1-4*A139^2/(BASE限界!$L$13*BASE限界!$L$13*4))/(PI()*BASE限界!$L$13*2)</f>
        <v>#NUM!</v>
      </c>
      <c r="D139" s="16"/>
      <c r="I139" s="19"/>
      <c r="J139" s="19">
        <f>1/2*BASE限界!$F$4*(BASE限界!$F$5^2)*(B139+B138)/2000*F139*0.1</f>
        <v>0</v>
      </c>
    </row>
    <row r="140" spans="1:10" x14ac:dyDescent="1.1000000000000001">
      <c r="A140">
        <v>13600</v>
      </c>
      <c r="C140" s="19" t="e">
        <f>4*$M$3*10^3*100*0.001*SQRT(1-4*A140^2/(BASE限界!$L$13*BASE限界!$L$13*4))/(PI()*BASE限界!$L$13*2)</f>
        <v>#NUM!</v>
      </c>
      <c r="D140" s="16"/>
      <c r="I140" s="19"/>
      <c r="J140" s="19">
        <f>1/2*BASE限界!$F$4*(BASE限界!$F$5^2)*(B140+B139)/2000*F140*0.1</f>
        <v>0</v>
      </c>
    </row>
    <row r="141" spans="1:10" x14ac:dyDescent="1.1000000000000001">
      <c r="A141">
        <v>13700</v>
      </c>
      <c r="C141" s="19" t="e">
        <f>4*$M$3*10^3*100*0.001*SQRT(1-4*A141^2/(BASE限界!$L$13*BASE限界!$L$13*4))/(PI()*BASE限界!$L$13*2)</f>
        <v>#NUM!</v>
      </c>
      <c r="D141" s="16"/>
      <c r="I141" s="19"/>
      <c r="J141" s="19">
        <f>1/2*BASE限界!$F$4*(BASE限界!$F$5^2)*(B141+B140)/2000*F141*0.1</f>
        <v>0</v>
      </c>
    </row>
    <row r="142" spans="1:10" x14ac:dyDescent="1.1000000000000001">
      <c r="A142">
        <v>13800</v>
      </c>
      <c r="C142" s="19" t="e">
        <f>4*$M$3*10^3*100*0.001*SQRT(1-4*A142^2/(BASE限界!$L$13*BASE限界!$L$13*4))/(PI()*BASE限界!$L$13*2)</f>
        <v>#NUM!</v>
      </c>
      <c r="D142" s="16"/>
      <c r="I142" s="19"/>
      <c r="J142" s="19">
        <f>1/2*BASE限界!$F$4*(BASE限界!$F$5^2)*(B142+B141)/2000*F142*0.1</f>
        <v>0</v>
      </c>
    </row>
    <row r="143" spans="1:10" x14ac:dyDescent="1.1000000000000001">
      <c r="A143">
        <v>13900</v>
      </c>
      <c r="C143" s="19" t="e">
        <f>4*$M$3*10^3*100*0.001*SQRT(1-4*A143^2/(BASE限界!$L$13*BASE限界!$L$13*4))/(PI()*BASE限界!$L$13*2)</f>
        <v>#NUM!</v>
      </c>
      <c r="D143" s="16"/>
      <c r="I143" s="19"/>
      <c r="J143" s="19">
        <f>1/2*BASE限界!$F$4*(BASE限界!$F$5^2)*(B143+B142)/2000*F143*0.1</f>
        <v>0</v>
      </c>
    </row>
    <row r="144" spans="1:10" x14ac:dyDescent="1.1000000000000001">
      <c r="A144">
        <v>14000</v>
      </c>
      <c r="C144" s="19" t="e">
        <f>4*$M$3*10^3*100*0.001*SQRT(1-4*A144^2/(BASE限界!$L$13*BASE限界!$L$13*4))/(PI()*BASE限界!$L$13*2)</f>
        <v>#NUM!</v>
      </c>
      <c r="D144" s="16"/>
      <c r="I144" s="19"/>
      <c r="J144" s="19">
        <f>1/2*BASE限界!$F$4*(BASE限界!$F$5^2)*(B144+B143)/2000*F144*0.1</f>
        <v>0</v>
      </c>
    </row>
    <row r="145" spans="1:10" x14ac:dyDescent="1.1000000000000001">
      <c r="A145">
        <v>14100</v>
      </c>
      <c r="C145" s="19" t="e">
        <f>4*$M$3*10^3*100*0.001*SQRT(1-4*A145^2/(BASE限界!$L$13*BASE限界!$L$13*4))/(PI()*BASE限界!$L$13*2)</f>
        <v>#NUM!</v>
      </c>
      <c r="D145" s="16"/>
      <c r="I145" s="19"/>
      <c r="J145" s="19">
        <f>1/2*BASE限界!$F$4*(BASE限界!$F$5^2)*(B145+B144)/2000*F145*0.1</f>
        <v>0</v>
      </c>
    </row>
    <row r="146" spans="1:10" x14ac:dyDescent="1.1000000000000001">
      <c r="A146">
        <v>14200</v>
      </c>
      <c r="C146" s="19" t="e">
        <f>4*$M$3*10^3*100*0.001*SQRT(1-4*A146^2/(BASE限界!$L$13*BASE限界!$L$13*4))/(PI()*BASE限界!$L$13*2)</f>
        <v>#NUM!</v>
      </c>
      <c r="D146" s="16"/>
      <c r="I146" s="19"/>
      <c r="J146" s="19">
        <f>1/2*BASE限界!$F$4*(BASE限界!$F$5^2)*(B146+B145)/2000*F146*0.1</f>
        <v>0</v>
      </c>
    </row>
    <row r="147" spans="1:10" x14ac:dyDescent="1.1000000000000001">
      <c r="A147">
        <v>14300</v>
      </c>
      <c r="C147" s="19" t="e">
        <f>4*$M$3*10^3*100*0.001*SQRT(1-4*A147^2/(BASE限界!$L$13*BASE限界!$L$13*4))/(PI()*BASE限界!$L$13*2)</f>
        <v>#NUM!</v>
      </c>
      <c r="D147" s="16"/>
      <c r="I147" s="19"/>
      <c r="J147" s="19">
        <f>1/2*BASE限界!$F$4*(BASE限界!$F$5^2)*(B147+B146)/2000*F147*0.1</f>
        <v>0</v>
      </c>
    </row>
    <row r="148" spans="1:10" x14ac:dyDescent="1.1000000000000001">
      <c r="A148">
        <v>14400</v>
      </c>
      <c r="C148" s="19" t="e">
        <f>4*$M$3*10^3*100*0.001*SQRT(1-4*A148^2/(BASE限界!$L$13*BASE限界!$L$13*4))/(PI()*BASE限界!$L$13*2)</f>
        <v>#NUM!</v>
      </c>
      <c r="D148" s="16"/>
      <c r="I148" s="19"/>
      <c r="J148" s="19">
        <f>1/2*BASE限界!$F$4*(BASE限界!$F$5^2)*(B148+B147)/2000*F148*0.1</f>
        <v>0</v>
      </c>
    </row>
    <row r="149" spans="1:10" x14ac:dyDescent="1.1000000000000001">
      <c r="A149">
        <v>14500</v>
      </c>
      <c r="C149" s="19" t="e">
        <f>4*$M$3*10^3*100*0.001*SQRT(1-4*A149^2/(BASE限界!$L$13*BASE限界!$L$13*4))/(PI()*BASE限界!$L$13*2)</f>
        <v>#NUM!</v>
      </c>
      <c r="D149" s="16"/>
      <c r="I149" s="19"/>
      <c r="J149" s="19">
        <f>1/2*BASE限界!$F$4*(BASE限界!$F$5^2)*(B149+B148)/2000*F149*0.1</f>
        <v>0</v>
      </c>
    </row>
    <row r="150" spans="1:10" x14ac:dyDescent="1.1000000000000001">
      <c r="A150">
        <v>14600</v>
      </c>
      <c r="C150" s="19" t="e">
        <f>4*$M$3*10^3*100*0.001*SQRT(1-4*A150^2/(BASE限界!$L$13*BASE限界!$L$13*4))/(PI()*BASE限界!$L$13*2)</f>
        <v>#NUM!</v>
      </c>
      <c r="D150" s="16"/>
      <c r="I150" s="19"/>
      <c r="J150" s="19">
        <f>1/2*BASE限界!$F$4*(BASE限界!$F$5^2)*(B150+B149)/2000*F150*0.1</f>
        <v>0</v>
      </c>
    </row>
    <row r="151" spans="1:10" x14ac:dyDescent="1.1000000000000001">
      <c r="A151">
        <v>14700</v>
      </c>
      <c r="C151" s="19" t="e">
        <f>4*$M$3*10^3*100*0.001*SQRT(1-4*A151^2/(BASE限界!$L$13*BASE限界!$L$13*4))/(PI()*BASE限界!$L$13*2)</f>
        <v>#NUM!</v>
      </c>
      <c r="D151" s="16"/>
      <c r="I151" s="19"/>
      <c r="J151" s="19">
        <f>1/2*BASE限界!$F$4*(BASE限界!$F$5^2)*(B151+B150)/2000*F151*0.1</f>
        <v>0</v>
      </c>
    </row>
    <row r="152" spans="1:10" x14ac:dyDescent="1.1000000000000001">
      <c r="A152">
        <v>14800</v>
      </c>
      <c r="C152" s="19" t="e">
        <f>4*$M$3*10^3*100*0.001*SQRT(1-4*A152^2/(BASE限界!$L$13*BASE限界!$L$13*4))/(PI()*BASE限界!$L$13*2)</f>
        <v>#NUM!</v>
      </c>
      <c r="D152" s="16"/>
      <c r="I152" s="19"/>
      <c r="J152" s="19">
        <f>1/2*BASE限界!$F$4*(BASE限界!$F$5^2)*(B152+B151)/2000*F152*0.1</f>
        <v>0</v>
      </c>
    </row>
    <row r="153" spans="1:10" x14ac:dyDescent="1.1000000000000001">
      <c r="A153">
        <v>14900</v>
      </c>
      <c r="C153" s="19" t="e">
        <f>4*$M$3*10^3*100*0.001*SQRT(1-4*A153^2/(BASE限界!$L$13*BASE限界!$L$13*4))/(PI()*BASE限界!$L$13*2)</f>
        <v>#NUM!</v>
      </c>
      <c r="D153" s="16"/>
      <c r="I153" s="19"/>
      <c r="J153" s="19">
        <f>1/2*BASE限界!$F$4*(BASE限界!$F$5^2)*(B153+B152)/2000*F153*0.1</f>
        <v>0</v>
      </c>
    </row>
    <row r="154" spans="1:10" x14ac:dyDescent="1.1000000000000001">
      <c r="A154">
        <v>15000</v>
      </c>
      <c r="C154" s="19" t="e">
        <f>4*$M$3*10^3*100*0.001*SQRT(1-4*A154^2/(BASE限界!$L$13*BASE限界!$L$13*4))/(PI()*BASE限界!$L$13*2)</f>
        <v>#NUM!</v>
      </c>
      <c r="D154" s="16"/>
      <c r="I154" s="19"/>
      <c r="J154" s="19">
        <f>1/2*BASE限界!$F$4*(BASE限界!$F$5^2)*(B154+B153)/2000*F154*0.1</f>
        <v>0</v>
      </c>
    </row>
    <row r="155" spans="1:10" x14ac:dyDescent="1.1000000000000001">
      <c r="A155">
        <v>15100</v>
      </c>
      <c r="C155" s="19" t="e">
        <f>4*$M$3*10^3*100*0.001*SQRT(1-4*A155^2/(BASE限界!$L$13*BASE限界!$L$13*4))/(PI()*BASE限界!$L$13*2)</f>
        <v>#NUM!</v>
      </c>
      <c r="D155" s="16"/>
      <c r="I155" s="19"/>
      <c r="J155" s="19">
        <f>1/2*BASE限界!$F$4*(BASE限界!$F$5^2)*(B155+B154)/2000*F155*0.1</f>
        <v>0</v>
      </c>
    </row>
    <row r="156" spans="1:10" x14ac:dyDescent="1.1000000000000001">
      <c r="A156">
        <v>15200</v>
      </c>
      <c r="C156" s="19" t="e">
        <f>4*$M$3*10^3*100*0.001*SQRT(1-4*A156^2/(BASE限界!$L$13*BASE限界!$L$13*4))/(PI()*BASE限界!$L$13*2)</f>
        <v>#NUM!</v>
      </c>
      <c r="D156" s="16"/>
      <c r="I156" s="19"/>
      <c r="J156" s="19">
        <f>1/2*BASE限界!$F$4*(BASE限界!$F$5^2)*(B156+B155)/2000*F156*0.1</f>
        <v>0</v>
      </c>
    </row>
    <row r="157" spans="1:10" x14ac:dyDescent="1.1000000000000001">
      <c r="A157">
        <v>15300</v>
      </c>
      <c r="C157" s="19" t="e">
        <f>4*$M$3*10^3*100*0.001*SQRT(1-4*A157^2/(BASE限界!$L$13*BASE限界!$L$13*4))/(PI()*BASE限界!$L$13*2)</f>
        <v>#NUM!</v>
      </c>
      <c r="D157" s="16"/>
      <c r="I157" s="19"/>
      <c r="J157" s="19">
        <f>1/2*BASE限界!$F$4*(BASE限界!$F$5^2)*(B157+B156)/2000*F157*0.1</f>
        <v>0</v>
      </c>
    </row>
    <row r="158" spans="1:10" x14ac:dyDescent="1.1000000000000001">
      <c r="A158">
        <v>15400</v>
      </c>
      <c r="C158" s="19" t="e">
        <f>4*$M$3*10^3*100*0.001*SQRT(1-4*A158^2/(BASE限界!$L$13*BASE限界!$L$13*4))/(PI()*BASE限界!$L$13*2)</f>
        <v>#NUM!</v>
      </c>
      <c r="D158" s="16"/>
      <c r="I158" s="19"/>
      <c r="J158" s="19">
        <f>1/2*BASE限界!$F$4*(BASE限界!$F$5^2)*(B158+B157)/2000*F158*0.1</f>
        <v>0</v>
      </c>
    </row>
    <row r="159" spans="1:10" x14ac:dyDescent="1.1000000000000001">
      <c r="A159">
        <v>15500</v>
      </c>
      <c r="C159" s="19" t="e">
        <f>4*$M$3*10^3*100*0.001*SQRT(1-4*A159^2/(BASE限界!$L$13*BASE限界!$L$13*4))/(PI()*BASE限界!$L$13*2)</f>
        <v>#NUM!</v>
      </c>
      <c r="D159" s="16"/>
      <c r="I159" s="19"/>
      <c r="J159" s="19">
        <f>1/2*BASE限界!$F$4*(BASE限界!$F$5^2)*(B159+B158)/2000*F159*0.1</f>
        <v>0</v>
      </c>
    </row>
    <row r="160" spans="1:10" x14ac:dyDescent="1.1000000000000001">
      <c r="A160">
        <v>15600</v>
      </c>
      <c r="C160" s="19" t="e">
        <f>4*$M$3*10^3*100*0.001*SQRT(1-4*A160^2/(BASE限界!$L$13*BASE限界!$L$13*4))/(PI()*BASE限界!$L$13*2)</f>
        <v>#NUM!</v>
      </c>
      <c r="D160" s="16"/>
      <c r="I160" s="19"/>
      <c r="J160" s="19">
        <f>1/2*BASE限界!$F$4*(BASE限界!$F$5^2)*(B160+B159)/2000*F160*0.1</f>
        <v>0</v>
      </c>
    </row>
    <row r="161" spans="1:10" x14ac:dyDescent="1.1000000000000001">
      <c r="A161">
        <v>15700</v>
      </c>
      <c r="C161" s="19" t="e">
        <f>4*$M$3*10^3*100*0.001*SQRT(1-4*A161^2/(BASE限界!$L$13*BASE限界!$L$13*4))/(PI()*BASE限界!$L$13*2)</f>
        <v>#NUM!</v>
      </c>
      <c r="D161" s="16"/>
      <c r="I161" s="19"/>
      <c r="J161" s="19">
        <f>1/2*BASE限界!$F$4*(BASE限界!$F$5^2)*(B161+B160)/2000*F161*0.1</f>
        <v>0</v>
      </c>
    </row>
    <row r="162" spans="1:10" x14ac:dyDescent="1.1000000000000001">
      <c r="A162">
        <v>15800</v>
      </c>
      <c r="C162" s="19" t="e">
        <f>4*$M$3*10^3*100*0.001*SQRT(1-4*A162^2/(BASE限界!$L$13*BASE限界!$L$13*4))/(PI()*BASE限界!$L$13*2)</f>
        <v>#NUM!</v>
      </c>
      <c r="D162" s="16"/>
      <c r="I162" s="19"/>
      <c r="J162" s="19">
        <f>1/2*BASE限界!$F$4*(BASE限界!$F$5^2)*(B162+B161)/2000*F162*0.1</f>
        <v>0</v>
      </c>
    </row>
    <row r="163" spans="1:10" x14ac:dyDescent="1.1000000000000001">
      <c r="A163">
        <v>15900</v>
      </c>
      <c r="C163" s="19" t="e">
        <f>4*$M$3*10^3*100*0.001*SQRT(1-4*A163^2/(BASE限界!$L$13*BASE限界!$L$13*4))/(PI()*BASE限界!$L$13*2)</f>
        <v>#NUM!</v>
      </c>
      <c r="D163" s="16"/>
      <c r="I163" s="19"/>
      <c r="J163" s="19">
        <f>1/2*BASE限界!$F$4*(BASE限界!$F$5^2)*(B163+B162)/2000*F163*0.1</f>
        <v>0</v>
      </c>
    </row>
    <row r="164" spans="1:10" x14ac:dyDescent="1.1000000000000001">
      <c r="A164">
        <v>16000</v>
      </c>
      <c r="C164" s="19" t="e">
        <f>4*$M$3*10^3*100*0.001*SQRT(1-4*A164^2/(BASE限界!$L$13*BASE限界!$L$13*4))/(PI()*BASE限界!$L$13*2)</f>
        <v>#NUM!</v>
      </c>
      <c r="D164" s="16"/>
      <c r="I164" s="19"/>
      <c r="J164" s="19">
        <f>1/2*BASE限界!$F$4*(BASE限界!$F$5^2)*(B164+B163)/2000*F164*0.1</f>
        <v>0</v>
      </c>
    </row>
    <row r="165" spans="1:10" x14ac:dyDescent="1.1000000000000001">
      <c r="A165">
        <v>16100</v>
      </c>
      <c r="C165" s="19" t="e">
        <f>4*$M$3*10^3*100*0.001*SQRT(1-4*A165^2/(BASE限界!$L$13*BASE限界!$L$13*4))/(PI()*BASE限界!$L$13*2)</f>
        <v>#NUM!</v>
      </c>
      <c r="D165" s="16"/>
      <c r="I165" s="19"/>
      <c r="J165" s="19">
        <f>1/2*BASE限界!$F$4*(BASE限界!$F$5^2)*(B165+B164)/2000*F165*0.1</f>
        <v>0</v>
      </c>
    </row>
    <row r="166" spans="1:10" x14ac:dyDescent="1.1000000000000001">
      <c r="A166">
        <v>16200</v>
      </c>
      <c r="C166" s="19" t="e">
        <f>4*$M$3*10^3*100*0.001*SQRT(1-4*A166^2/(BASE限界!$L$13*BASE限界!$L$13*4))/(PI()*BASE限界!$L$13*2)</f>
        <v>#NUM!</v>
      </c>
      <c r="D166" s="16"/>
      <c r="I166" s="19"/>
      <c r="J166" s="19">
        <f>1/2*BASE限界!$F$4*(BASE限界!$F$5^2)*(B166+B165)/2000*F166*0.1</f>
        <v>0</v>
      </c>
    </row>
    <row r="167" spans="1:10" x14ac:dyDescent="1.1000000000000001">
      <c r="A167">
        <v>16300</v>
      </c>
      <c r="C167" s="19" t="e">
        <f>4*$M$3*10^3*100*0.001*SQRT(1-4*A167^2/(BASE限界!$L$13*BASE限界!$L$13*4))/(PI()*BASE限界!$L$13*2)</f>
        <v>#NUM!</v>
      </c>
      <c r="D167" s="16"/>
      <c r="I167" s="19"/>
      <c r="J167" s="19">
        <f>1/2*BASE限界!$F$4*(BASE限界!$F$5^2)*(B167+B166)/2000*F167*0.1</f>
        <v>0</v>
      </c>
    </row>
    <row r="168" spans="1:10" x14ac:dyDescent="1.1000000000000001">
      <c r="A168">
        <v>16400</v>
      </c>
      <c r="C168" s="19" t="e">
        <f>4*$M$3*10^3*100*0.001*SQRT(1-4*A168^2/(BASE限界!$L$13*BASE限界!$L$13*4))/(PI()*BASE限界!$L$13*2)</f>
        <v>#NUM!</v>
      </c>
      <c r="D168" s="16"/>
      <c r="I168" s="19"/>
      <c r="J168" s="19">
        <f>1/2*BASE限界!$F$4*(BASE限界!$F$5^2)*(B168+B167)/2000*F168*0.1</f>
        <v>0</v>
      </c>
    </row>
    <row r="169" spans="1:10" x14ac:dyDescent="1.1000000000000001">
      <c r="A169">
        <v>16500</v>
      </c>
      <c r="C169" s="19" t="e">
        <f>4*$M$3*10^3*100*0.001*SQRT(1-4*A169^2/(BASE限界!$L$13*BASE限界!$L$13*4))/(PI()*BASE限界!$L$13*2)</f>
        <v>#NUM!</v>
      </c>
      <c r="D169" s="16"/>
      <c r="I169" s="19"/>
      <c r="J169" s="19">
        <f>1/2*BASE限界!$F$4*(BASE限界!$F$5^2)*(B169+B168)/2000*F169*0.1</f>
        <v>0</v>
      </c>
    </row>
    <row r="170" spans="1:10" x14ac:dyDescent="1.1000000000000001">
      <c r="A170">
        <v>16600</v>
      </c>
      <c r="C170" s="19" t="e">
        <f>4*$M$3*10^3*100*0.001*SQRT(1-4*A170^2/(BASE限界!$L$13*BASE限界!$L$13*4))/(PI()*BASE限界!$L$13*2)</f>
        <v>#NUM!</v>
      </c>
      <c r="D170" s="16"/>
      <c r="I170" s="19"/>
      <c r="J170" s="19">
        <f>1/2*BASE限界!$F$4*(BASE限界!$F$5^2)*(B170+B169)/2000*F170*0.1</f>
        <v>0</v>
      </c>
    </row>
    <row r="171" spans="1:10" x14ac:dyDescent="1.1000000000000001">
      <c r="A171">
        <v>16700</v>
      </c>
      <c r="C171" s="19" t="e">
        <f>4*$M$3*10^3*100*0.001*SQRT(1-4*A171^2/(BASE限界!$L$13*BASE限界!$L$13*4))/(PI()*BASE限界!$L$13*2)</f>
        <v>#NUM!</v>
      </c>
      <c r="D171" s="16"/>
      <c r="I171" s="19"/>
      <c r="J171" s="19">
        <f>1/2*BASE限界!$F$4*(BASE限界!$F$5^2)*(B171+B170)/2000*F171*0.1</f>
        <v>0</v>
      </c>
    </row>
    <row r="172" spans="1:10" x14ac:dyDescent="1.1000000000000001">
      <c r="A172">
        <v>16800</v>
      </c>
      <c r="C172" s="19" t="e">
        <f>4*$M$3*10^3*100*0.001*SQRT(1-4*A172^2/(BASE限界!$L$13*BASE限界!$L$13*4))/(PI()*BASE限界!$L$13*2)</f>
        <v>#NUM!</v>
      </c>
      <c r="D172" s="16"/>
      <c r="I172" s="19"/>
      <c r="J172" s="19">
        <f>1/2*BASE限界!$F$4*(BASE限界!$F$5^2)*(B172+B171)/2000*F172*0.1</f>
        <v>0</v>
      </c>
    </row>
    <row r="173" spans="1:10" x14ac:dyDescent="1.1000000000000001">
      <c r="A173">
        <v>16900</v>
      </c>
      <c r="C173" s="19" t="e">
        <f>4*$M$3*10^3*100*0.001*SQRT(1-4*A173^2/(BASE限界!$L$13*BASE限界!$L$13*4))/(PI()*BASE限界!$L$13*2)</f>
        <v>#NUM!</v>
      </c>
      <c r="D173" s="16"/>
      <c r="I173" s="19"/>
      <c r="J173" s="19">
        <f>1/2*BASE限界!$F$4*(BASE限界!$F$5^2)*(B173+B172)/2000*F173*0.1</f>
        <v>0</v>
      </c>
    </row>
    <row r="174" spans="1:10" x14ac:dyDescent="1.1000000000000001">
      <c r="A174">
        <v>17000</v>
      </c>
      <c r="C174" s="19" t="e">
        <f>4*$M$3*10^3*100*0.001*SQRT(1-4*A174^2/(BASE限界!$L$13*BASE限界!$L$13*4))/(PI()*BASE限界!$L$13*2)</f>
        <v>#NUM!</v>
      </c>
      <c r="D174" s="16"/>
      <c r="I174" s="19"/>
      <c r="J174" s="19">
        <f>1/2*BASE限界!$F$4*(BASE限界!$F$5^2)*(B174+B173)/2000*F174*0.1</f>
        <v>0</v>
      </c>
    </row>
    <row r="175" spans="1:10" x14ac:dyDescent="1.1000000000000001">
      <c r="A175">
        <v>17100</v>
      </c>
      <c r="C175" s="19" t="e">
        <f>4*$M$3*10^3*100*0.001*SQRT(1-4*A175^2/(BASE限界!$L$13*BASE限界!$L$13*4))/(PI()*BASE限界!$L$13*2)</f>
        <v>#NUM!</v>
      </c>
      <c r="D175" s="16"/>
      <c r="I175" s="19"/>
      <c r="J175" s="19">
        <f>1/2*BASE限界!$F$4*(BASE限界!$F$5^2)*(B175+B174)/2000*F175*0.1</f>
        <v>0</v>
      </c>
    </row>
    <row r="176" spans="1:10" x14ac:dyDescent="1.1000000000000001">
      <c r="A176">
        <v>17200</v>
      </c>
      <c r="C176" s="19" t="e">
        <f>4*$M$3*10^3*100*0.001*SQRT(1-4*A176^2/(BASE限界!$L$13*BASE限界!$L$13*4))/(PI()*BASE限界!$L$13*2)</f>
        <v>#NUM!</v>
      </c>
      <c r="D176" s="16"/>
      <c r="I176" s="19"/>
      <c r="J176" s="19">
        <f>1/2*BASE限界!$F$4*(BASE限界!$F$5^2)*(B176+B175)/2000*F176*0.1</f>
        <v>0</v>
      </c>
    </row>
    <row r="177" spans="1:10" x14ac:dyDescent="1.1000000000000001">
      <c r="A177">
        <v>17300</v>
      </c>
      <c r="C177" s="19" t="e">
        <f>4*$M$3*10^3*100*0.001*SQRT(1-4*A177^2/(BASE限界!$L$13*BASE限界!$L$13*4))/(PI()*BASE限界!$L$13*2)</f>
        <v>#NUM!</v>
      </c>
      <c r="D177" s="16"/>
      <c r="I177" s="19"/>
      <c r="J177" s="19">
        <f>1/2*BASE限界!$F$4*(BASE限界!$F$5^2)*(B177+B176)/2000*F177*0.1</f>
        <v>0</v>
      </c>
    </row>
    <row r="178" spans="1:10" x14ac:dyDescent="1.1000000000000001">
      <c r="A178">
        <v>17400</v>
      </c>
      <c r="C178" s="19" t="e">
        <f>4*$M$3*10^3*100*0.001*SQRT(1-4*A178^2/(BASE限界!$L$13*BASE限界!$L$13*4))/(PI()*BASE限界!$L$13*2)</f>
        <v>#NUM!</v>
      </c>
      <c r="D178" s="16"/>
      <c r="I178" s="19"/>
      <c r="J178" s="19">
        <f>1/2*BASE限界!$F$4*(BASE限界!$F$5^2)*(B178+B177)/2000*F178*0.1</f>
        <v>0</v>
      </c>
    </row>
    <row r="179" spans="1:10" x14ac:dyDescent="1.1000000000000001">
      <c r="A179">
        <v>17500</v>
      </c>
      <c r="C179" s="19" t="e">
        <f>4*$M$3*10^3*100*0.001*SQRT(1-4*A179^2/(BASE限界!$L$13*BASE限界!$L$13*4))/(PI()*BASE限界!$L$13*2)</f>
        <v>#NUM!</v>
      </c>
      <c r="D179" s="16"/>
      <c r="I179" s="19"/>
      <c r="J179" s="19">
        <f>1/2*BASE限界!$F$4*(BASE限界!$F$5^2)*(B179+B178)/2000*F179*0.1</f>
        <v>0</v>
      </c>
    </row>
    <row r="180" spans="1:10" x14ac:dyDescent="1.1000000000000001">
      <c r="A180">
        <v>17600</v>
      </c>
      <c r="C180" s="19" t="e">
        <f>4*$M$3*10^3*100*0.001*SQRT(1-4*A180^2/(BASE限界!$L$13*BASE限界!$L$13*4))/(PI()*BASE限界!$L$13*2)</f>
        <v>#NUM!</v>
      </c>
      <c r="D180" s="16"/>
      <c r="I180" s="19"/>
      <c r="J180" s="19">
        <f>1/2*BASE限界!$F$4*(BASE限界!$F$5^2)*(B180+B179)/2000*F180*0.1</f>
        <v>0</v>
      </c>
    </row>
    <row r="181" spans="1:10" x14ac:dyDescent="1.1000000000000001">
      <c r="A181">
        <v>17700</v>
      </c>
      <c r="C181" s="19" t="e">
        <f>4*$M$3*10^3*100*0.001*SQRT(1-4*A181^2/(BASE限界!$L$13*BASE限界!$L$13*4))/(PI()*BASE限界!$L$13*2)</f>
        <v>#NUM!</v>
      </c>
      <c r="D181" s="16"/>
      <c r="I181" s="19"/>
      <c r="J181" s="19">
        <f>1/2*BASE限界!$F$4*(BASE限界!$F$5^2)*(B181+B180)/2000*F181*0.1</f>
        <v>0</v>
      </c>
    </row>
  </sheetData>
  <mergeCells count="3">
    <mergeCell ref="L2:M2"/>
    <mergeCell ref="B1:E2"/>
    <mergeCell ref="G1:H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比較モード</vt:lpstr>
      <vt:lpstr>BASE</vt:lpstr>
      <vt:lpstr>BASE限界</vt:lpstr>
      <vt:lpstr>定常時揚力分布</vt:lpstr>
      <vt:lpstr>低速時揚力分布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 Takumi</dc:creator>
  <cp:lastModifiedBy>拓海 佐治</cp:lastModifiedBy>
  <dcterms:created xsi:type="dcterms:W3CDTF">2025-08-19T10:55:04Z</dcterms:created>
  <dcterms:modified xsi:type="dcterms:W3CDTF">2026-03-03T14:08:14Z</dcterms:modified>
</cp:coreProperties>
</file>